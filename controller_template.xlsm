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1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wolterskluwer-my.sharepoint.com/personal/mauro_cespedesaraya_wolterskluwer_com/Documents/Desktop/Bilbao/1/app/"/>
    </mc:Choice>
  </mc:AlternateContent>
  <xr:revisionPtr revIDLastSave="343" documentId="13_ncr:1_{726ADE09-4414-477B-8BF5-9B7BF61D7564}" xr6:coauthVersionLast="47" xr6:coauthVersionMax="47" xr10:uidLastSave="{1E50AB6B-E048-43FE-8A06-331AE1874EF1}"/>
  <bookViews>
    <workbookView xWindow="1140" yWindow="1140" windowWidth="14400" windowHeight="7360" activeTab="2" xr2:uid="{00000000-000D-0000-FFFF-FFFF00000000}"/>
  </bookViews>
  <sheets>
    <sheet name="." sheetId="1" r:id="rId1"/>
    <sheet name="Controller" sheetId="2" state="hidden" r:id="rId2"/>
    <sheet name="Stats Graphs" sheetId="3" r:id="rId3"/>
    <sheet name="Monthly Trend" sheetId="4" r:id="rId4"/>
  </sheets>
  <definedNames>
    <definedName name="C_MEAS">Controller!$D$18</definedName>
    <definedName name="CMEAS_1">Controller!$R$18</definedName>
    <definedName name="CMEAS_2">Controller!$AH$18</definedName>
    <definedName name="CMEAS_3">Controller!$AY$18</definedName>
    <definedName name="CMEAS_4">Controller!$AY$18</definedName>
    <definedName name="CMEAS2">Controller!$AH$18</definedName>
    <definedName name="NAMES_RESOURCES">_xlfn.ANCHORARRAY(Controller!$F$26)</definedName>
    <definedName name="X_AXIS">INDIRECT("Controller!$C$26:$C$" &amp; Controller!$A$35)</definedName>
    <definedName name="X_AXIS1">INDIRECT("Controller!$Q$26:$Q$" &amp; Controller!$O$38)</definedName>
    <definedName name="X_AXIS2">INDIRECT("Controller!$AG$26:$AG$" &amp; Controller!$AE$38)</definedName>
    <definedName name="X_AXIS3">INDIRECT("Controller!$AX$26:$AX$" &amp; Controller!$AV$38)</definedName>
    <definedName name="X_AXIS4">INDIRECT("Controller!$BP$26:$BP$" &amp; Controller!$BN$38)</definedName>
    <definedName name="Y_AXIS">INDIRECT("Controller!$D$26:$D$" &amp; Controller!$A$35)</definedName>
    <definedName name="Y_AXIS1">INDIRECT("Controller!$R$26:$R$" &amp; Controller!$O$38)</definedName>
    <definedName name="Y_AXIS2">INDIRECT("Controller!$AH$26:$AH$" &amp; Controller!$AE$38)</definedName>
    <definedName name="Y_AXIS3">INDIRECT("Controller!$AY$26:$AY$" &amp; Controller!$AV$38)</definedName>
    <definedName name="Y_AXIS4">INDIRECT("Controller!$BQ$26:$BQ$" &amp; Controller!$BN$38)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  <pivotCache cacheId="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4" l="1"/>
  <c r="I7" i="4"/>
  <c r="I5" i="4"/>
  <c r="AE38" i="2" a="1"/>
  <c r="AE38" i="2" s="1"/>
  <c r="A35" i="2" a="1"/>
  <c r="A35" i="2" s="1"/>
  <c r="C99" i="2" a="1"/>
  <c r="C99" i="2" s="1"/>
  <c r="C100" i="2" a="1"/>
  <c r="C100" i="2" s="1"/>
  <c r="C101" i="2" a="1"/>
  <c r="C101" i="2" s="1"/>
  <c r="C102" i="2" a="1"/>
  <c r="C102" i="2" s="1"/>
  <c r="C103" i="2" a="1"/>
  <c r="C103" i="2" s="1"/>
  <c r="C104" i="2" a="1"/>
  <c r="C104" i="2" s="1"/>
  <c r="C105" i="2" a="1"/>
  <c r="C105" i="2" s="1"/>
  <c r="C106" i="2" a="1"/>
  <c r="C106" i="2" s="1"/>
  <c r="C107" i="2" a="1"/>
  <c r="C107" i="2" s="1"/>
  <c r="C108" i="2" a="1"/>
  <c r="C108" i="2" s="1"/>
  <c r="C109" i="2" a="1"/>
  <c r="C109" i="2" s="1"/>
  <c r="C110" i="2" a="1"/>
  <c r="C110" i="2" s="1"/>
  <c r="C111" i="2" a="1"/>
  <c r="C111" i="2" s="1"/>
  <c r="C112" i="2" a="1"/>
  <c r="C112" i="2" s="1"/>
  <c r="C113" i="2" a="1"/>
  <c r="C113" i="2" s="1"/>
  <c r="C114" i="2" a="1"/>
  <c r="C114" i="2" s="1"/>
  <c r="C115" i="2" a="1"/>
  <c r="C115" i="2" s="1"/>
  <c r="C116" i="2" a="1"/>
  <c r="C116" i="2" s="1"/>
  <c r="C117" i="2" a="1"/>
  <c r="C117" i="2" s="1"/>
  <c r="C118" i="2" a="1"/>
  <c r="C118" i="2" s="1"/>
  <c r="C119" i="2" a="1"/>
  <c r="C119" i="2" s="1"/>
  <c r="C120" i="2" a="1"/>
  <c r="C120" i="2" s="1"/>
  <c r="C121" i="2" a="1"/>
  <c r="C121" i="2" s="1"/>
  <c r="C122" i="2" a="1"/>
  <c r="C122" i="2" s="1"/>
  <c r="C123" i="2" a="1"/>
  <c r="C123" i="2" s="1"/>
  <c r="C124" i="2" a="1"/>
  <c r="C124" i="2" s="1"/>
  <c r="C125" i="2" a="1"/>
  <c r="C125" i="2" s="1"/>
  <c r="C126" i="2" a="1"/>
  <c r="C126" i="2" s="1"/>
  <c r="C127" i="2" a="1"/>
  <c r="C127" i="2" s="1"/>
  <c r="C128" i="2" a="1"/>
  <c r="C128" i="2" s="1"/>
  <c r="C129" i="2" a="1"/>
  <c r="C129" i="2" s="1"/>
  <c r="C130" i="2" a="1"/>
  <c r="C130" i="2" s="1"/>
  <c r="C131" i="2" a="1"/>
  <c r="C131" i="2" s="1"/>
  <c r="C132" i="2" a="1"/>
  <c r="C132" i="2" s="1"/>
  <c r="C133" i="2" a="1"/>
  <c r="C133" i="2" s="1"/>
  <c r="C134" i="2" a="1"/>
  <c r="C134" i="2" s="1"/>
  <c r="C135" i="2" a="1"/>
  <c r="C135" i="2" s="1"/>
  <c r="C136" i="2" a="1"/>
  <c r="C136" i="2" s="1"/>
  <c r="C137" i="2" a="1"/>
  <c r="C137" i="2" s="1"/>
  <c r="C138" i="2" a="1"/>
  <c r="C138" i="2" s="1"/>
  <c r="C139" i="2" a="1"/>
  <c r="C139" i="2" s="1"/>
  <c r="C140" i="2" a="1"/>
  <c r="C140" i="2" s="1"/>
  <c r="C141" i="2" a="1"/>
  <c r="C141" i="2" s="1"/>
  <c r="C142" i="2" a="1"/>
  <c r="C142" i="2" s="1"/>
  <c r="C143" i="2" a="1"/>
  <c r="C143" i="2" s="1"/>
  <c r="C144" i="2" a="1"/>
  <c r="C144" i="2" s="1"/>
  <c r="C145" i="2" a="1"/>
  <c r="C145" i="2" s="1"/>
  <c r="C146" i="2" a="1"/>
  <c r="C146" i="2" s="1"/>
  <c r="C147" i="2" a="1"/>
  <c r="C147" i="2" s="1"/>
  <c r="C148" i="2" a="1"/>
  <c r="C148" i="2" s="1"/>
  <c r="C149" i="2" a="1"/>
  <c r="C149" i="2" s="1"/>
  <c r="C150" i="2" a="1"/>
  <c r="C150" i="2" s="1"/>
  <c r="C151" i="2" a="1"/>
  <c r="C151" i="2" s="1"/>
  <c r="C152" i="2" a="1"/>
  <c r="C152" i="2" s="1"/>
  <c r="C153" i="2" a="1"/>
  <c r="C153" i="2" s="1"/>
  <c r="C154" i="2" a="1"/>
  <c r="C154" i="2" s="1"/>
  <c r="C155" i="2" a="1"/>
  <c r="C155" i="2" s="1"/>
  <c r="C156" i="2" a="1"/>
  <c r="C156" i="2" s="1"/>
  <c r="C157" i="2" a="1"/>
  <c r="C157" i="2" s="1"/>
  <c r="C158" i="2" a="1"/>
  <c r="C158" i="2" s="1"/>
  <c r="C159" i="2" a="1"/>
  <c r="C159" i="2" s="1"/>
  <c r="C160" i="2" a="1"/>
  <c r="C160" i="2" s="1"/>
  <c r="C161" i="2" a="1"/>
  <c r="C161" i="2" s="1"/>
  <c r="C162" i="2" a="1"/>
  <c r="C162" i="2" s="1"/>
  <c r="C163" i="2" a="1"/>
  <c r="C163" i="2" s="1"/>
  <c r="C164" i="2" a="1"/>
  <c r="C164" i="2" s="1"/>
  <c r="C165" i="2" a="1"/>
  <c r="C165" i="2" s="1"/>
  <c r="C166" i="2" a="1"/>
  <c r="C166" i="2" s="1"/>
  <c r="C167" i="2" a="1"/>
  <c r="C167" i="2" s="1"/>
  <c r="C168" i="2" a="1"/>
  <c r="C168" i="2" s="1"/>
  <c r="C169" i="2" a="1"/>
  <c r="C169" i="2" s="1"/>
  <c r="C170" i="2" a="1"/>
  <c r="C170" i="2" s="1"/>
  <c r="C171" i="2" a="1"/>
  <c r="C171" i="2" s="1"/>
  <c r="C172" i="2" a="1"/>
  <c r="C172" i="2" s="1"/>
  <c r="C173" i="2" a="1"/>
  <c r="C173" i="2" s="1"/>
  <c r="C174" i="2" a="1"/>
  <c r="C174" i="2" s="1"/>
  <c r="C175" i="2" a="1"/>
  <c r="C175" i="2" s="1"/>
  <c r="C176" i="2" a="1"/>
  <c r="C176" i="2" s="1"/>
  <c r="C177" i="2" a="1"/>
  <c r="C177" i="2" s="1"/>
  <c r="C178" i="2" a="1"/>
  <c r="C178" i="2" s="1"/>
  <c r="C179" i="2" a="1"/>
  <c r="C179" i="2" s="1"/>
  <c r="C180" i="2" a="1"/>
  <c r="C180" i="2" s="1"/>
  <c r="C181" i="2" a="1"/>
  <c r="C181" i="2" s="1"/>
  <c r="C182" i="2" a="1"/>
  <c r="C182" i="2" s="1"/>
  <c r="C183" i="2" a="1"/>
  <c r="C183" i="2" s="1"/>
  <c r="C184" i="2" a="1"/>
  <c r="C184" i="2" s="1"/>
  <c r="C185" i="2" a="1"/>
  <c r="C185" i="2" s="1"/>
  <c r="C186" i="2" a="1"/>
  <c r="C186" i="2" s="1"/>
  <c r="C187" i="2" a="1"/>
  <c r="C187" i="2" s="1"/>
  <c r="C188" i="2" a="1"/>
  <c r="C188" i="2" s="1"/>
  <c r="C189" i="2" a="1"/>
  <c r="C189" i="2" s="1"/>
  <c r="C190" i="2" a="1"/>
  <c r="C190" i="2" s="1"/>
  <c r="C191" i="2" a="1"/>
  <c r="C191" i="2" s="1"/>
  <c r="C192" i="2" a="1"/>
  <c r="C192" i="2" s="1"/>
  <c r="C193" i="2" a="1"/>
  <c r="C193" i="2" s="1"/>
  <c r="C194" i="2" a="1"/>
  <c r="C194" i="2" s="1"/>
  <c r="C195" i="2" a="1"/>
  <c r="C195" i="2" s="1"/>
  <c r="C196" i="2" a="1"/>
  <c r="C196" i="2" s="1"/>
  <c r="C197" i="2" a="1"/>
  <c r="C197" i="2" s="1"/>
  <c r="C198" i="2" a="1"/>
  <c r="C198" i="2" s="1"/>
  <c r="C199" i="2" a="1"/>
  <c r="C199" i="2" s="1"/>
  <c r="C200" i="2" a="1"/>
  <c r="C200" i="2" s="1"/>
  <c r="C201" i="2" a="1"/>
  <c r="C201" i="2" s="1"/>
  <c r="C202" i="2" a="1"/>
  <c r="C202" i="2" s="1"/>
  <c r="C203" i="2" a="1"/>
  <c r="C203" i="2" s="1"/>
  <c r="C204" i="2" a="1"/>
  <c r="C204" i="2" s="1"/>
  <c r="C205" i="2" a="1"/>
  <c r="C205" i="2" s="1"/>
  <c r="C206" i="2" a="1"/>
  <c r="C206" i="2" s="1"/>
  <c r="C207" i="2" a="1"/>
  <c r="C207" i="2" s="1"/>
  <c r="C208" i="2" a="1"/>
  <c r="C208" i="2" s="1"/>
  <c r="C209" i="2" a="1"/>
  <c r="C209" i="2" s="1"/>
  <c r="C210" i="2" a="1"/>
  <c r="C210" i="2" s="1"/>
  <c r="C211" i="2" a="1"/>
  <c r="C211" i="2" s="1"/>
  <c r="C212" i="2" a="1"/>
  <c r="C212" i="2" s="1"/>
  <c r="C213" i="2" a="1"/>
  <c r="C213" i="2" s="1"/>
  <c r="C214" i="2" a="1"/>
  <c r="C214" i="2" s="1"/>
  <c r="C215" i="2" a="1"/>
  <c r="C215" i="2" s="1"/>
  <c r="C216" i="2" a="1"/>
  <c r="C216" i="2" s="1"/>
  <c r="C217" i="2" a="1"/>
  <c r="C217" i="2" s="1"/>
  <c r="C218" i="2" a="1"/>
  <c r="C218" i="2" s="1"/>
  <c r="C219" i="2" a="1"/>
  <c r="C219" i="2" s="1"/>
  <c r="C220" i="2" a="1"/>
  <c r="C220" i="2" s="1"/>
  <c r="C221" i="2" a="1"/>
  <c r="C221" i="2" s="1"/>
  <c r="C222" i="2" a="1"/>
  <c r="C222" i="2" s="1"/>
  <c r="C223" i="2" a="1"/>
  <c r="C223" i="2" s="1"/>
  <c r="C224" i="2" a="1"/>
  <c r="C224" i="2" s="1"/>
  <c r="C225" i="2" a="1"/>
  <c r="C225" i="2" s="1"/>
  <c r="C226" i="2" a="1"/>
  <c r="C226" i="2" s="1"/>
  <c r="C227" i="2" a="1"/>
  <c r="C227" i="2" s="1"/>
  <c r="C228" i="2" a="1"/>
  <c r="C228" i="2" s="1"/>
  <c r="C229" i="2" a="1"/>
  <c r="C229" i="2" s="1"/>
  <c r="C230" i="2" a="1"/>
  <c r="C230" i="2" s="1"/>
  <c r="C231" i="2" a="1"/>
  <c r="C231" i="2" s="1"/>
  <c r="C232" i="2" a="1"/>
  <c r="C232" i="2" s="1"/>
  <c r="C233" i="2" a="1"/>
  <c r="C233" i="2" s="1"/>
  <c r="C234" i="2" a="1"/>
  <c r="C234" i="2" s="1"/>
  <c r="C235" i="2" a="1"/>
  <c r="C235" i="2" s="1"/>
  <c r="C236" i="2" a="1"/>
  <c r="C236" i="2" s="1"/>
  <c r="C237" i="2" a="1"/>
  <c r="C237" i="2" s="1"/>
  <c r="C238" i="2" a="1"/>
  <c r="C238" i="2" s="1"/>
  <c r="C239" i="2" a="1"/>
  <c r="C239" i="2" s="1"/>
  <c r="C240" i="2" a="1"/>
  <c r="C240" i="2" s="1"/>
  <c r="C241" i="2" a="1"/>
  <c r="C241" i="2" s="1"/>
  <c r="C242" i="2" a="1"/>
  <c r="C242" i="2" s="1"/>
  <c r="C243" i="2" a="1"/>
  <c r="C243" i="2" s="1"/>
  <c r="C244" i="2" a="1"/>
  <c r="C244" i="2" s="1"/>
  <c r="C245" i="2" a="1"/>
  <c r="C245" i="2" s="1"/>
  <c r="C246" i="2" a="1"/>
  <c r="C246" i="2" s="1"/>
  <c r="C247" i="2" a="1"/>
  <c r="C247" i="2" s="1"/>
  <c r="C248" i="2" a="1"/>
  <c r="C248" i="2" s="1"/>
  <c r="C249" i="2" a="1"/>
  <c r="C249" i="2" s="1"/>
  <c r="C250" i="2" a="1"/>
  <c r="C250" i="2" s="1"/>
  <c r="C251" i="2" a="1"/>
  <c r="C251" i="2" s="1"/>
  <c r="C252" i="2" a="1"/>
  <c r="C252" i="2" s="1"/>
  <c r="C253" i="2" a="1"/>
  <c r="C253" i="2" s="1"/>
  <c r="C254" i="2" a="1"/>
  <c r="C254" i="2" s="1"/>
  <c r="C255" i="2" a="1"/>
  <c r="C255" i="2" s="1"/>
  <c r="C256" i="2" a="1"/>
  <c r="C256" i="2" s="1"/>
  <c r="C257" i="2" a="1"/>
  <c r="C257" i="2" s="1"/>
  <c r="C258" i="2" a="1"/>
  <c r="C258" i="2" s="1"/>
  <c r="C259" i="2" a="1"/>
  <c r="C259" i="2" s="1"/>
  <c r="C260" i="2" a="1"/>
  <c r="C260" i="2" s="1"/>
  <c r="C261" i="2" a="1"/>
  <c r="C261" i="2" s="1"/>
  <c r="C262" i="2" a="1"/>
  <c r="C262" i="2" s="1"/>
  <c r="C263" i="2" a="1"/>
  <c r="C263" i="2" s="1"/>
  <c r="C264" i="2" a="1"/>
  <c r="C264" i="2" s="1"/>
  <c r="C265" i="2" a="1"/>
  <c r="C265" i="2" s="1"/>
  <c r="C266" i="2" a="1"/>
  <c r="C266" i="2" s="1"/>
  <c r="C267" i="2" a="1"/>
  <c r="C267" i="2" s="1"/>
  <c r="C268" i="2" a="1"/>
  <c r="C268" i="2" s="1"/>
  <c r="C269" i="2" a="1"/>
  <c r="C269" i="2" s="1"/>
  <c r="C270" i="2" a="1"/>
  <c r="C270" i="2" s="1"/>
  <c r="C271" i="2" a="1"/>
  <c r="C271" i="2" s="1"/>
  <c r="C272" i="2" a="1"/>
  <c r="C272" i="2" s="1"/>
  <c r="C273" i="2" a="1"/>
  <c r="C273" i="2" s="1"/>
  <c r="C274" i="2" a="1"/>
  <c r="C274" i="2" s="1"/>
  <c r="C275" i="2" a="1"/>
  <c r="C275" i="2" s="1"/>
  <c r="C276" i="2" a="1"/>
  <c r="C276" i="2" s="1"/>
  <c r="C277" i="2" a="1"/>
  <c r="C277" i="2" s="1"/>
  <c r="C278" i="2" a="1"/>
  <c r="C278" i="2" s="1"/>
  <c r="C279" i="2" a="1"/>
  <c r="C279" i="2" s="1"/>
  <c r="C280" i="2" a="1"/>
  <c r="C280" i="2" s="1"/>
  <c r="C281" i="2" a="1"/>
  <c r="C281" i="2" s="1"/>
  <c r="C282" i="2" a="1"/>
  <c r="C282" i="2" s="1"/>
  <c r="C283" i="2" a="1"/>
  <c r="C283" i="2" s="1"/>
  <c r="C284" i="2" a="1"/>
  <c r="C284" i="2" s="1"/>
  <c r="C285" i="2" a="1"/>
  <c r="C285" i="2" s="1"/>
  <c r="C286" i="2" a="1"/>
  <c r="C286" i="2" s="1"/>
  <c r="C287" i="2" a="1"/>
  <c r="C287" i="2" s="1"/>
  <c r="C288" i="2" a="1"/>
  <c r="C288" i="2" s="1"/>
  <c r="C289" i="2" a="1"/>
  <c r="C289" i="2" s="1"/>
  <c r="C290" i="2" a="1"/>
  <c r="C290" i="2" s="1"/>
  <c r="C291" i="2" a="1"/>
  <c r="C291" i="2" s="1"/>
  <c r="C292" i="2" a="1"/>
  <c r="C292" i="2" s="1"/>
  <c r="C293" i="2" a="1"/>
  <c r="C293" i="2" s="1"/>
  <c r="C294" i="2" a="1"/>
  <c r="C294" i="2" s="1"/>
  <c r="C295" i="2" a="1"/>
  <c r="C295" i="2" s="1"/>
  <c r="C296" i="2" a="1"/>
  <c r="C296" i="2" s="1"/>
  <c r="C297" i="2" a="1"/>
  <c r="C297" i="2" s="1"/>
  <c r="C298" i="2" a="1"/>
  <c r="C298" i="2" s="1"/>
  <c r="C299" i="2" a="1"/>
  <c r="C299" i="2" s="1"/>
  <c r="C300" i="2" a="1"/>
  <c r="C300" i="2" s="1"/>
  <c r="C301" i="2" a="1"/>
  <c r="C301" i="2" s="1"/>
  <c r="C302" i="2" a="1"/>
  <c r="C302" i="2" s="1"/>
  <c r="C303" i="2" a="1"/>
  <c r="C303" i="2" s="1"/>
  <c r="C304" i="2" a="1"/>
  <c r="C304" i="2" s="1"/>
  <c r="C305" i="2" a="1"/>
  <c r="C305" i="2" s="1"/>
  <c r="C306" i="2" a="1"/>
  <c r="C306" i="2" s="1"/>
  <c r="C307" i="2" a="1"/>
  <c r="C307" i="2" s="1"/>
  <c r="C308" i="2" a="1"/>
  <c r="C308" i="2" s="1"/>
  <c r="C309" i="2" a="1"/>
  <c r="C309" i="2" s="1"/>
  <c r="C310" i="2" a="1"/>
  <c r="C310" i="2" s="1"/>
  <c r="C311" i="2" a="1"/>
  <c r="C311" i="2" s="1"/>
  <c r="C312" i="2" a="1"/>
  <c r="C312" i="2" s="1"/>
  <c r="C313" i="2" a="1"/>
  <c r="C313" i="2" s="1"/>
  <c r="C314" i="2" a="1"/>
  <c r="C314" i="2" s="1"/>
  <c r="C315" i="2" a="1"/>
  <c r="C315" i="2" s="1"/>
  <c r="C316" i="2" a="1"/>
  <c r="C316" i="2" s="1"/>
  <c r="C317" i="2" a="1"/>
  <c r="C317" i="2" s="1"/>
  <c r="C318" i="2" a="1"/>
  <c r="C318" i="2" s="1"/>
  <c r="C319" i="2" a="1"/>
  <c r="C319" i="2" s="1"/>
  <c r="C320" i="2" a="1"/>
  <c r="C320" i="2" s="1"/>
  <c r="C321" i="2" a="1"/>
  <c r="C321" i="2" s="1"/>
  <c r="C322" i="2" a="1"/>
  <c r="C322" i="2" s="1"/>
  <c r="C323" i="2" a="1"/>
  <c r="C323" i="2" s="1"/>
  <c r="C324" i="2" a="1"/>
  <c r="C324" i="2" s="1"/>
  <c r="C325" i="2" a="1"/>
  <c r="C325" i="2" s="1"/>
  <c r="C326" i="2" a="1"/>
  <c r="C326" i="2" s="1"/>
  <c r="C327" i="2" a="1"/>
  <c r="C327" i="2" s="1"/>
  <c r="C328" i="2" a="1"/>
  <c r="C328" i="2" s="1"/>
  <c r="C329" i="2" a="1"/>
  <c r="C329" i="2" s="1"/>
  <c r="C330" i="2" a="1"/>
  <c r="C330" i="2" s="1"/>
  <c r="C331" i="2" a="1"/>
  <c r="C331" i="2" s="1"/>
  <c r="C332" i="2" a="1"/>
  <c r="C332" i="2" s="1"/>
  <c r="C333" i="2" a="1"/>
  <c r="C333" i="2" s="1"/>
  <c r="C334" i="2" a="1"/>
  <c r="C334" i="2" s="1"/>
  <c r="C335" i="2" a="1"/>
  <c r="C335" i="2" s="1"/>
  <c r="C336" i="2" a="1"/>
  <c r="C336" i="2" s="1"/>
  <c r="C337" i="2" a="1"/>
  <c r="C337" i="2" s="1"/>
  <c r="C338" i="2" a="1"/>
  <c r="C338" i="2" s="1"/>
  <c r="C339" i="2" a="1"/>
  <c r="C339" i="2" s="1"/>
  <c r="C340" i="2" a="1"/>
  <c r="C340" i="2" s="1"/>
  <c r="C341" i="2" a="1"/>
  <c r="C341" i="2" s="1"/>
  <c r="C342" i="2" a="1"/>
  <c r="C342" i="2" s="1"/>
  <c r="C343" i="2" a="1"/>
  <c r="C343" i="2" s="1"/>
  <c r="C344" i="2" a="1"/>
  <c r="C344" i="2" s="1"/>
  <c r="C345" i="2" a="1"/>
  <c r="C345" i="2" s="1"/>
  <c r="C346" i="2" a="1"/>
  <c r="C346" i="2" s="1"/>
  <c r="C347" i="2" a="1"/>
  <c r="C347" i="2" s="1"/>
  <c r="C348" i="2" a="1"/>
  <c r="C348" i="2" s="1"/>
  <c r="C349" i="2" a="1"/>
  <c r="C349" i="2" s="1"/>
  <c r="C350" i="2" a="1"/>
  <c r="C350" i="2" s="1"/>
  <c r="C351" i="2" a="1"/>
  <c r="C351" i="2" s="1"/>
  <c r="C352" i="2" a="1"/>
  <c r="C352" i="2" s="1"/>
  <c r="C353" i="2" a="1"/>
  <c r="C353" i="2" s="1"/>
  <c r="C354" i="2" a="1"/>
  <c r="C354" i="2" s="1"/>
  <c r="C355" i="2" a="1"/>
  <c r="C355" i="2" s="1"/>
  <c r="C356" i="2" a="1"/>
  <c r="C356" i="2" s="1"/>
  <c r="C357" i="2" a="1"/>
  <c r="C357" i="2" s="1"/>
  <c r="C358" i="2" a="1"/>
  <c r="C358" i="2" s="1"/>
  <c r="C359" i="2" a="1"/>
  <c r="C359" i="2" s="1"/>
  <c r="C360" i="2" a="1"/>
  <c r="C360" i="2" s="1"/>
  <c r="C361" i="2" a="1"/>
  <c r="C361" i="2" s="1"/>
  <c r="C362" i="2" a="1"/>
  <c r="C362" i="2" s="1"/>
  <c r="C363" i="2" a="1"/>
  <c r="C363" i="2" s="1"/>
  <c r="C364" i="2" a="1"/>
  <c r="C364" i="2" s="1"/>
  <c r="C365" i="2" a="1"/>
  <c r="C365" i="2" s="1"/>
  <c r="C366" i="2" a="1"/>
  <c r="C366" i="2" s="1"/>
  <c r="C367" i="2" a="1"/>
  <c r="C367" i="2" s="1"/>
  <c r="C368" i="2" a="1"/>
  <c r="C368" i="2" s="1"/>
  <c r="C369" i="2" a="1"/>
  <c r="C369" i="2" s="1"/>
  <c r="C370" i="2" a="1"/>
  <c r="C370" i="2" s="1"/>
  <c r="C371" i="2" a="1"/>
  <c r="C371" i="2" s="1"/>
  <c r="C372" i="2" a="1"/>
  <c r="C372" i="2" s="1"/>
  <c r="C373" i="2" a="1"/>
  <c r="C373" i="2" s="1"/>
  <c r="C374" i="2" a="1"/>
  <c r="C374" i="2" s="1"/>
  <c r="C375" i="2" a="1"/>
  <c r="C375" i="2" s="1"/>
  <c r="C376" i="2" a="1"/>
  <c r="C376" i="2" s="1"/>
  <c r="C377" i="2" a="1"/>
  <c r="C377" i="2" s="1"/>
  <c r="C378" i="2" a="1"/>
  <c r="C378" i="2" s="1"/>
  <c r="C379" i="2" a="1"/>
  <c r="C379" i="2" s="1"/>
  <c r="C380" i="2" a="1"/>
  <c r="C380" i="2" s="1"/>
  <c r="C381" i="2" a="1"/>
  <c r="C381" i="2" s="1"/>
  <c r="C382" i="2" a="1"/>
  <c r="C382" i="2" s="1"/>
  <c r="C383" i="2" a="1"/>
  <c r="C383" i="2" s="1"/>
  <c r="C384" i="2" a="1"/>
  <c r="C384" i="2" s="1"/>
  <c r="C385" i="2" a="1"/>
  <c r="C385" i="2" s="1"/>
  <c r="C386" i="2" a="1"/>
  <c r="C386" i="2" s="1"/>
  <c r="C387" i="2" a="1"/>
  <c r="C387" i="2" s="1"/>
  <c r="C388" i="2" a="1"/>
  <c r="C388" i="2" s="1"/>
  <c r="C389" i="2" a="1"/>
  <c r="C389" i="2" s="1"/>
  <c r="C390" i="2" a="1"/>
  <c r="C390" i="2" s="1"/>
  <c r="C391" i="2" a="1"/>
  <c r="C391" i="2" s="1"/>
  <c r="C392" i="2" a="1"/>
  <c r="C392" i="2" s="1"/>
  <c r="C393" i="2" a="1"/>
  <c r="C393" i="2" s="1"/>
  <c r="C394" i="2" a="1"/>
  <c r="C394" i="2" s="1"/>
  <c r="C395" i="2" a="1"/>
  <c r="C395" i="2" s="1"/>
  <c r="C396" i="2" a="1"/>
  <c r="C396" i="2" s="1"/>
  <c r="C397" i="2" a="1"/>
  <c r="C397" i="2" s="1"/>
  <c r="C398" i="2" a="1"/>
  <c r="C398" i="2" s="1"/>
  <c r="C399" i="2" a="1"/>
  <c r="C399" i="2" s="1"/>
  <c r="C400" i="2" a="1"/>
  <c r="C400" i="2" s="1"/>
  <c r="C401" i="2" a="1"/>
  <c r="C401" i="2" s="1"/>
  <c r="C402" i="2" a="1"/>
  <c r="C402" i="2" s="1"/>
  <c r="C403" i="2" a="1"/>
  <c r="C403" i="2" s="1"/>
  <c r="C404" i="2" a="1"/>
  <c r="C404" i="2" s="1"/>
  <c r="C405" i="2" a="1"/>
  <c r="C405" i="2" s="1"/>
  <c r="C406" i="2" a="1"/>
  <c r="C406" i="2" s="1"/>
  <c r="C407" i="2" a="1"/>
  <c r="C407" i="2" s="1"/>
  <c r="C408" i="2" a="1"/>
  <c r="C408" i="2" s="1"/>
  <c r="C409" i="2" a="1"/>
  <c r="C409" i="2" s="1"/>
  <c r="C410" i="2" a="1"/>
  <c r="C410" i="2" s="1"/>
  <c r="C411" i="2" a="1"/>
  <c r="C411" i="2" s="1"/>
  <c r="C412" i="2" a="1"/>
  <c r="C412" i="2" s="1"/>
  <c r="C413" i="2" a="1"/>
  <c r="C413" i="2" s="1"/>
  <c r="C414" i="2" a="1"/>
  <c r="C414" i="2" s="1"/>
  <c r="C415" i="2" a="1"/>
  <c r="C415" i="2" s="1"/>
  <c r="C416" i="2" a="1"/>
  <c r="C416" i="2" s="1"/>
  <c r="C417" i="2" a="1"/>
  <c r="C417" i="2" s="1"/>
  <c r="C418" i="2" a="1"/>
  <c r="C418" i="2" s="1"/>
  <c r="C419" i="2" a="1"/>
  <c r="C419" i="2" s="1"/>
  <c r="C420" i="2" a="1"/>
  <c r="C420" i="2" s="1"/>
  <c r="C421" i="2" a="1"/>
  <c r="C421" i="2" s="1"/>
  <c r="C422" i="2" a="1"/>
  <c r="C422" i="2" s="1"/>
  <c r="C423" i="2" a="1"/>
  <c r="C423" i="2" s="1"/>
  <c r="C424" i="2" a="1"/>
  <c r="C424" i="2" s="1"/>
  <c r="C425" i="2" a="1"/>
  <c r="C425" i="2" s="1"/>
  <c r="C426" i="2" a="1"/>
  <c r="C426" i="2" s="1"/>
  <c r="C427" i="2" a="1"/>
  <c r="C427" i="2" s="1"/>
  <c r="C428" i="2" a="1"/>
  <c r="C428" i="2" s="1"/>
  <c r="BN38" i="2" a="1"/>
  <c r="BN38" i="2" s="1"/>
  <c r="AG59" i="2" a="1"/>
  <c r="AG59" i="2" s="1"/>
  <c r="AG60" i="2" a="1"/>
  <c r="AG60" i="2" s="1"/>
  <c r="AG61" i="2" a="1"/>
  <c r="AG61" i="2" s="1"/>
  <c r="AG62" i="2" a="1"/>
  <c r="AG62" i="2" s="1"/>
  <c r="AG63" i="2" a="1"/>
  <c r="AG63" i="2" s="1"/>
  <c r="AG64" i="2" a="1"/>
  <c r="AG64" i="2" s="1"/>
  <c r="AG65" i="2" a="1"/>
  <c r="AG65" i="2" s="1"/>
  <c r="AG66" i="2" a="1"/>
  <c r="AG66" i="2" s="1"/>
  <c r="AG67" i="2" a="1"/>
  <c r="AG67" i="2" s="1"/>
  <c r="AG68" i="2" a="1"/>
  <c r="AG68" i="2" s="1"/>
  <c r="AG69" i="2" a="1"/>
  <c r="AG69" i="2" s="1"/>
  <c r="AG70" i="2" a="1"/>
  <c r="AG70" i="2" s="1"/>
  <c r="AY18" i="2"/>
  <c r="BQ18" i="2"/>
  <c r="BQ43" i="2" s="1"/>
  <c r="AH18" i="2"/>
  <c r="BP58" i="2" a="1"/>
  <c r="BP58" i="2" s="1"/>
  <c r="BP57" i="2" a="1"/>
  <c r="BP57" i="2" s="1"/>
  <c r="BP56" i="2" a="1"/>
  <c r="BP56" i="2" s="1"/>
  <c r="BP55" i="2" a="1"/>
  <c r="BP55" i="2" s="1"/>
  <c r="BP54" i="2" a="1"/>
  <c r="BP54" i="2" s="1"/>
  <c r="BP53" i="2" a="1"/>
  <c r="BP53" i="2" s="1"/>
  <c r="BP52" i="2" a="1"/>
  <c r="BP52" i="2" s="1"/>
  <c r="BP51" i="2" a="1"/>
  <c r="BP51" i="2" s="1"/>
  <c r="BP50" i="2" a="1"/>
  <c r="BP50" i="2" s="1"/>
  <c r="BP49" i="2" a="1"/>
  <c r="BP49" i="2" s="1"/>
  <c r="BP48" i="2" a="1"/>
  <c r="BP48" i="2" s="1"/>
  <c r="BP47" i="2" a="1"/>
  <c r="BP47" i="2" s="1"/>
  <c r="BP46" i="2" a="1"/>
  <c r="BP46" i="2" s="1"/>
  <c r="BP45" i="2" a="1"/>
  <c r="BP45" i="2" s="1"/>
  <c r="BP44" i="2" a="1"/>
  <c r="BP44" i="2" s="1"/>
  <c r="BP43" i="2" a="1"/>
  <c r="BP43" i="2" s="1"/>
  <c r="BP42" i="2" a="1"/>
  <c r="BP42" i="2" s="1"/>
  <c r="BP41" i="2" a="1"/>
  <c r="BP41" i="2" s="1"/>
  <c r="BP40" i="2" a="1"/>
  <c r="BP40" i="2" s="1"/>
  <c r="BP39" i="2" a="1"/>
  <c r="BP39" i="2" s="1"/>
  <c r="BP38" i="2" a="1"/>
  <c r="BP38" i="2" s="1"/>
  <c r="BP37" i="2" a="1"/>
  <c r="BP37" i="2" s="1"/>
  <c r="BP36" i="2" a="1"/>
  <c r="BP36" i="2" s="1"/>
  <c r="BP35" i="2" a="1"/>
  <c r="BP35" i="2" s="1"/>
  <c r="BP34" i="2" a="1"/>
  <c r="BP34" i="2" s="1"/>
  <c r="BP33" i="2" a="1"/>
  <c r="BP33" i="2" s="1"/>
  <c r="BP32" i="2" a="1"/>
  <c r="BP32" i="2" s="1"/>
  <c r="BP31" i="2" a="1"/>
  <c r="BP31" i="2" s="1"/>
  <c r="BP30" i="2" a="1"/>
  <c r="BP30" i="2" s="1"/>
  <c r="BP29" i="2" a="1"/>
  <c r="BP29" i="2" s="1"/>
  <c r="BP26" i="2" a="1"/>
  <c r="BP27" i="2" s="1"/>
  <c r="AX58" i="2" a="1"/>
  <c r="AX58" i="2" s="1"/>
  <c r="AX57" i="2" a="1"/>
  <c r="AX57" i="2" s="1"/>
  <c r="AX56" i="2" a="1"/>
  <c r="AX56" i="2" s="1"/>
  <c r="AX55" i="2" a="1"/>
  <c r="AX55" i="2" s="1"/>
  <c r="AX54" i="2" a="1"/>
  <c r="AX54" i="2" s="1"/>
  <c r="AX53" i="2" a="1"/>
  <c r="AX53" i="2" s="1"/>
  <c r="AX52" i="2" a="1"/>
  <c r="AX52" i="2" s="1"/>
  <c r="AX51" i="2" a="1"/>
  <c r="AX51" i="2" s="1"/>
  <c r="AX50" i="2" a="1"/>
  <c r="AX50" i="2" s="1"/>
  <c r="AX49" i="2" a="1"/>
  <c r="AX49" i="2" s="1"/>
  <c r="AX48" i="2" a="1"/>
  <c r="AX48" i="2" s="1"/>
  <c r="AX47" i="2" a="1"/>
  <c r="AX47" i="2" s="1"/>
  <c r="AX46" i="2" a="1"/>
  <c r="AX46" i="2" s="1"/>
  <c r="AX45" i="2" a="1"/>
  <c r="AX45" i="2" s="1"/>
  <c r="AX44" i="2" a="1"/>
  <c r="AX44" i="2" s="1"/>
  <c r="AX43" i="2" a="1"/>
  <c r="AX43" i="2" s="1"/>
  <c r="AX42" i="2" a="1"/>
  <c r="AX42" i="2" s="1"/>
  <c r="AX41" i="2" a="1"/>
  <c r="AX41" i="2" s="1"/>
  <c r="AX40" i="2" a="1"/>
  <c r="AX40" i="2" s="1"/>
  <c r="AX39" i="2" a="1"/>
  <c r="AX39" i="2" s="1"/>
  <c r="AX38" i="2" a="1"/>
  <c r="AX38" i="2" s="1"/>
  <c r="AV38" i="2" a="1"/>
  <c r="AV38" i="2" s="1"/>
  <c r="AX37" i="2" a="1"/>
  <c r="AX37" i="2" s="1"/>
  <c r="AX36" i="2" a="1"/>
  <c r="AX36" i="2" s="1"/>
  <c r="AX35" i="2" a="1"/>
  <c r="AX35" i="2" s="1"/>
  <c r="AX34" i="2" a="1"/>
  <c r="AX34" i="2" s="1"/>
  <c r="AX33" i="2" a="1"/>
  <c r="AX33" i="2" s="1"/>
  <c r="AX32" i="2" a="1"/>
  <c r="AX32" i="2" s="1"/>
  <c r="AX31" i="2" a="1"/>
  <c r="AX31" i="2" s="1"/>
  <c r="AX30" i="2" a="1"/>
  <c r="AX30" i="2" s="1"/>
  <c r="AX29" i="2" a="1"/>
  <c r="AX29" i="2" s="1"/>
  <c r="AX26" i="2" a="1"/>
  <c r="AX27" i="2" s="1"/>
  <c r="AG58" i="2" a="1"/>
  <c r="AG58" i="2" s="1"/>
  <c r="AG57" i="2" a="1"/>
  <c r="AG57" i="2" s="1"/>
  <c r="AG56" i="2" a="1"/>
  <c r="AG56" i="2" s="1"/>
  <c r="AG55" i="2" a="1"/>
  <c r="AG55" i="2" s="1"/>
  <c r="AG54" i="2" a="1"/>
  <c r="AG54" i="2" s="1"/>
  <c r="AG53" i="2" a="1"/>
  <c r="AG53" i="2" s="1"/>
  <c r="AG52" i="2" a="1"/>
  <c r="AG52" i="2" s="1"/>
  <c r="AG51" i="2" a="1"/>
  <c r="AG51" i="2" s="1"/>
  <c r="AG50" i="2" a="1"/>
  <c r="AG50" i="2" s="1"/>
  <c r="AG49" i="2" a="1"/>
  <c r="AG49" i="2" s="1"/>
  <c r="AG48" i="2" a="1"/>
  <c r="AG48" i="2" s="1"/>
  <c r="AG47" i="2" a="1"/>
  <c r="AG47" i="2" s="1"/>
  <c r="AG46" i="2" a="1"/>
  <c r="AG46" i="2" s="1"/>
  <c r="AG45" i="2" a="1"/>
  <c r="AG45" i="2" s="1"/>
  <c r="AG44" i="2" a="1"/>
  <c r="AG44" i="2" s="1"/>
  <c r="AG43" i="2" a="1"/>
  <c r="AG43" i="2" s="1"/>
  <c r="AG42" i="2" a="1"/>
  <c r="AG42" i="2" s="1"/>
  <c r="AG41" i="2" a="1"/>
  <c r="AG41" i="2" s="1"/>
  <c r="AG40" i="2" a="1"/>
  <c r="AG40" i="2" s="1"/>
  <c r="AG39" i="2" a="1"/>
  <c r="AG39" i="2" s="1"/>
  <c r="AG38" i="2" a="1"/>
  <c r="AG38" i="2" s="1"/>
  <c r="AG37" i="2" a="1"/>
  <c r="AG37" i="2" s="1"/>
  <c r="AG36" i="2" a="1"/>
  <c r="AG36" i="2" s="1"/>
  <c r="AG35" i="2" a="1"/>
  <c r="AG35" i="2" s="1"/>
  <c r="AG34" i="2" a="1"/>
  <c r="AG34" i="2" s="1"/>
  <c r="AG33" i="2" a="1"/>
  <c r="AG33" i="2" s="1"/>
  <c r="AG32" i="2" a="1"/>
  <c r="AG32" i="2" s="1"/>
  <c r="AG31" i="2" a="1"/>
  <c r="AG31" i="2" s="1"/>
  <c r="AG30" i="2" a="1"/>
  <c r="AG30" i="2" s="1"/>
  <c r="AG29" i="2" a="1"/>
  <c r="AG29" i="2" s="1"/>
  <c r="AG26" i="2" a="1"/>
  <c r="AG28" i="2" s="1"/>
  <c r="R18" i="2"/>
  <c r="D18" i="2"/>
  <c r="C98" i="2" a="1"/>
  <c r="C98" i="2" s="1"/>
  <c r="C85" i="2" a="1"/>
  <c r="C85" i="2" s="1"/>
  <c r="C86" i="2" a="1"/>
  <c r="C86" i="2" s="1"/>
  <c r="C87" i="2" a="1"/>
  <c r="C87" i="2" s="1"/>
  <c r="C88" i="2" a="1"/>
  <c r="C88" i="2" s="1"/>
  <c r="C89" i="2" a="1"/>
  <c r="C89" i="2" s="1"/>
  <c r="C90" i="2" a="1"/>
  <c r="C90" i="2" s="1"/>
  <c r="C91" i="2" a="1"/>
  <c r="C91" i="2" s="1"/>
  <c r="C92" i="2" a="1"/>
  <c r="C92" i="2" s="1"/>
  <c r="C93" i="2" a="1"/>
  <c r="C93" i="2" s="1"/>
  <c r="C94" i="2" a="1"/>
  <c r="C94" i="2" s="1"/>
  <c r="C95" i="2" a="1"/>
  <c r="C95" i="2" s="1"/>
  <c r="C96" i="2" a="1"/>
  <c r="C96" i="2" s="1"/>
  <c r="C97" i="2" a="1"/>
  <c r="C97" i="2" s="1"/>
  <c r="C59" i="2" a="1"/>
  <c r="C59" i="2" s="1"/>
  <c r="C60" i="2" a="1"/>
  <c r="C60" i="2" s="1"/>
  <c r="C61" i="2" a="1"/>
  <c r="C61" i="2" s="1"/>
  <c r="C62" i="2" a="1"/>
  <c r="C62" i="2" s="1"/>
  <c r="C63" i="2" a="1"/>
  <c r="C63" i="2" s="1"/>
  <c r="C64" i="2" a="1"/>
  <c r="C64" i="2" s="1"/>
  <c r="C65" i="2" a="1"/>
  <c r="C65" i="2" s="1"/>
  <c r="C66" i="2" a="1"/>
  <c r="C66" i="2" s="1"/>
  <c r="C67" i="2" a="1"/>
  <c r="C67" i="2" s="1"/>
  <c r="C68" i="2" a="1"/>
  <c r="C68" i="2" s="1"/>
  <c r="C69" i="2" a="1"/>
  <c r="C69" i="2" s="1"/>
  <c r="C70" i="2" a="1"/>
  <c r="C70" i="2" s="1"/>
  <c r="C71" i="2" a="1"/>
  <c r="C71" i="2" s="1"/>
  <c r="C72" i="2" a="1"/>
  <c r="C72" i="2" s="1"/>
  <c r="C73" i="2" a="1"/>
  <c r="C73" i="2" s="1"/>
  <c r="C74" i="2" a="1"/>
  <c r="C74" i="2" s="1"/>
  <c r="C75" i="2" a="1"/>
  <c r="C75" i="2" s="1"/>
  <c r="C76" i="2" a="1"/>
  <c r="C76" i="2" s="1"/>
  <c r="C77" i="2" a="1"/>
  <c r="C77" i="2" s="1"/>
  <c r="C78" i="2" a="1"/>
  <c r="C78" i="2" s="1"/>
  <c r="C79" i="2" a="1"/>
  <c r="C79" i="2" s="1"/>
  <c r="C80" i="2" a="1"/>
  <c r="C80" i="2" s="1"/>
  <c r="C81" i="2" a="1"/>
  <c r="C81" i="2" s="1"/>
  <c r="C82" i="2" a="1"/>
  <c r="C82" i="2" s="1"/>
  <c r="C83" i="2" a="1"/>
  <c r="C83" i="2" s="1"/>
  <c r="C84" i="2" a="1"/>
  <c r="C84" i="2" s="1"/>
  <c r="Q58" i="2" a="1"/>
  <c r="Q58" i="2" s="1"/>
  <c r="Q57" i="2" a="1"/>
  <c r="Q57" i="2" s="1"/>
  <c r="Q56" i="2" a="1"/>
  <c r="Q56" i="2" s="1"/>
  <c r="Q55" i="2" a="1"/>
  <c r="Q55" i="2" s="1"/>
  <c r="Q54" i="2" a="1"/>
  <c r="Q54" i="2" s="1"/>
  <c r="Q53" i="2" a="1"/>
  <c r="Q53" i="2" s="1"/>
  <c r="Q52" i="2" a="1"/>
  <c r="Q52" i="2" s="1"/>
  <c r="Q51" i="2" a="1"/>
  <c r="Q51" i="2" s="1"/>
  <c r="Q50" i="2" a="1"/>
  <c r="Q50" i="2" s="1"/>
  <c r="Q49" i="2" a="1"/>
  <c r="Q49" i="2" s="1"/>
  <c r="Q48" i="2" a="1"/>
  <c r="Q48" i="2" s="1"/>
  <c r="Q47" i="2" a="1"/>
  <c r="Q47" i="2" s="1"/>
  <c r="Q46" i="2" a="1"/>
  <c r="Q46" i="2" s="1"/>
  <c r="Q45" i="2" a="1"/>
  <c r="Q45" i="2" s="1"/>
  <c r="Q44" i="2" a="1"/>
  <c r="Q44" i="2" s="1"/>
  <c r="Q43" i="2" a="1"/>
  <c r="Q43" i="2" s="1"/>
  <c r="Q42" i="2" a="1"/>
  <c r="Q42" i="2" s="1"/>
  <c r="Q41" i="2" a="1"/>
  <c r="Q41" i="2" s="1"/>
  <c r="Q40" i="2" a="1"/>
  <c r="Q40" i="2" s="1"/>
  <c r="Q39" i="2" a="1"/>
  <c r="Q39" i="2" s="1"/>
  <c r="Q38" i="2" a="1"/>
  <c r="Q38" i="2" s="1"/>
  <c r="Q37" i="2" a="1"/>
  <c r="Q37" i="2" s="1"/>
  <c r="Q36" i="2" a="1"/>
  <c r="Q36" i="2" s="1"/>
  <c r="Q35" i="2" a="1"/>
  <c r="Q35" i="2" s="1"/>
  <c r="Q34" i="2" a="1"/>
  <c r="Q34" i="2" s="1"/>
  <c r="Q33" i="2" a="1"/>
  <c r="Q33" i="2" s="1"/>
  <c r="Q32" i="2" a="1"/>
  <c r="Q32" i="2" s="1"/>
  <c r="Q31" i="2" a="1"/>
  <c r="Q31" i="2" s="1"/>
  <c r="Q30" i="2" a="1"/>
  <c r="Q30" i="2" s="1"/>
  <c r="Q29" i="2" a="1"/>
  <c r="Q29" i="2" s="1"/>
  <c r="Q26" i="2" a="1"/>
  <c r="Q28" i="2" s="1"/>
  <c r="O38" i="2" a="1"/>
  <c r="O38" i="2" s="1"/>
  <c r="C26" i="2" a="1"/>
  <c r="C27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58" i="2" a="1"/>
  <c r="C58" i="2" s="1"/>
  <c r="C57" i="2" a="1"/>
  <c r="C57" i="2" s="1"/>
  <c r="C56" i="2" a="1"/>
  <c r="C56" i="2" s="1"/>
  <c r="C55" i="2" a="1"/>
  <c r="C55" i="2" s="1"/>
  <c r="C54" i="2" a="1"/>
  <c r="C54" i="2" s="1"/>
  <c r="C53" i="2" a="1"/>
  <c r="C53" i="2" s="1"/>
  <c r="C52" i="2" a="1"/>
  <c r="C52" i="2" s="1"/>
  <c r="C51" i="2" a="1"/>
  <c r="C51" i="2" s="1"/>
  <c r="C50" i="2" a="1"/>
  <c r="C50" i="2" s="1"/>
  <c r="C49" i="2" a="1"/>
  <c r="C49" i="2" s="1"/>
  <c r="C48" i="2" a="1"/>
  <c r="C48" i="2" s="1"/>
  <c r="C47" i="2" a="1"/>
  <c r="C47" i="2" s="1"/>
  <c r="C46" i="2" a="1"/>
  <c r="C46" i="2" s="1"/>
  <c r="C45" i="2" a="1"/>
  <c r="C45" i="2" s="1"/>
  <c r="C44" i="2" a="1"/>
  <c r="C44" i="2" s="1"/>
  <c r="C43" i="2" a="1"/>
  <c r="C43" i="2" s="1"/>
  <c r="C42" i="2" a="1"/>
  <c r="C42" i="2" s="1"/>
  <c r="C41" i="2" a="1"/>
  <c r="C41" i="2" s="1"/>
  <c r="C40" i="2" a="1"/>
  <c r="C40" i="2" s="1"/>
  <c r="C39" i="2" a="1"/>
  <c r="C39" i="2" s="1"/>
  <c r="D99" i="2" l="1"/>
  <c r="D289" i="2"/>
  <c r="D257" i="2"/>
  <c r="D209" i="2"/>
  <c r="D201" i="2"/>
  <c r="D193" i="2"/>
  <c r="D161" i="2"/>
  <c r="D137" i="2"/>
  <c r="D129" i="2"/>
  <c r="D121" i="2"/>
  <c r="D113" i="2"/>
  <c r="D214" i="2"/>
  <c r="D333" i="2"/>
  <c r="D377" i="2"/>
  <c r="D361" i="2"/>
  <c r="D400" i="2"/>
  <c r="D272" i="2"/>
  <c r="D216" i="2"/>
  <c r="D406" i="2"/>
  <c r="D374" i="2"/>
  <c r="D310" i="2"/>
  <c r="D230" i="2"/>
  <c r="D116" i="2"/>
  <c r="D381" i="2"/>
  <c r="D349" i="2"/>
  <c r="D253" i="2"/>
  <c r="D369" i="2"/>
  <c r="D281" i="2"/>
  <c r="D228" i="2"/>
  <c r="D296" i="2"/>
  <c r="D398" i="2"/>
  <c r="D318" i="2"/>
  <c r="D238" i="2"/>
  <c r="D325" i="2"/>
  <c r="D417" i="2"/>
  <c r="D353" i="2"/>
  <c r="D416" i="2"/>
  <c r="D376" i="2"/>
  <c r="D160" i="2"/>
  <c r="D112" i="2"/>
  <c r="D224" i="2"/>
  <c r="D139" i="2"/>
  <c r="D390" i="2"/>
  <c r="D342" i="2"/>
  <c r="D246" i="2"/>
  <c r="D413" i="2"/>
  <c r="D341" i="2"/>
  <c r="D317" i="2"/>
  <c r="D203" i="2"/>
  <c r="D399" i="2"/>
  <c r="D359" i="2"/>
  <c r="D319" i="2"/>
  <c r="D303" i="2"/>
  <c r="D295" i="2"/>
  <c r="D247" i="2"/>
  <c r="D183" i="2"/>
  <c r="D159" i="2"/>
  <c r="D150" i="2"/>
  <c r="D141" i="2"/>
  <c r="D340" i="2"/>
  <c r="D316" i="2"/>
  <c r="D204" i="2"/>
  <c r="D180" i="2"/>
  <c r="D172" i="2"/>
  <c r="D221" i="2"/>
  <c r="D157" i="2"/>
  <c r="D363" i="2"/>
  <c r="D419" i="2"/>
  <c r="D379" i="2"/>
  <c r="D339" i="2"/>
  <c r="D275" i="2"/>
  <c r="D259" i="2"/>
  <c r="D251" i="2"/>
  <c r="D396" i="2"/>
  <c r="D299" i="2"/>
  <c r="D370" i="2"/>
  <c r="D362" i="2"/>
  <c r="D354" i="2"/>
  <c r="D282" i="2"/>
  <c r="D106" i="2"/>
  <c r="D274" i="2"/>
  <c r="D266" i="2"/>
  <c r="D258" i="2"/>
  <c r="D252" i="2"/>
  <c r="D245" i="2"/>
  <c r="D237" i="2"/>
  <c r="D229" i="2"/>
  <c r="D222" i="2"/>
  <c r="D200" i="2"/>
  <c r="D186" i="2"/>
  <c r="D163" i="2"/>
  <c r="D142" i="2"/>
  <c r="D136" i="2"/>
  <c r="D120" i="2"/>
  <c r="D105" i="2"/>
  <c r="D415" i="2"/>
  <c r="D395" i="2"/>
  <c r="D375" i="2"/>
  <c r="D356" i="2"/>
  <c r="D336" i="2"/>
  <c r="D315" i="2"/>
  <c r="D292" i="2"/>
  <c r="D268" i="2"/>
  <c r="D244" i="2"/>
  <c r="D223" i="2"/>
  <c r="D199" i="2"/>
  <c r="D179" i="2"/>
  <c r="D155" i="2"/>
  <c r="D135" i="2"/>
  <c r="D111" i="2"/>
  <c r="D426" i="2"/>
  <c r="D418" i="2"/>
  <c r="D412" i="2"/>
  <c r="D405" i="2"/>
  <c r="D397" i="2"/>
  <c r="D389" i="2"/>
  <c r="D382" i="2"/>
  <c r="D360" i="2"/>
  <c r="D346" i="2"/>
  <c r="D323" i="2"/>
  <c r="D302" i="2"/>
  <c r="D294" i="2"/>
  <c r="D280" i="2"/>
  <c r="D273" i="2"/>
  <c r="D265" i="2"/>
  <c r="D207" i="2"/>
  <c r="D185" i="2"/>
  <c r="D178" i="2"/>
  <c r="D170" i="2"/>
  <c r="D162" i="2"/>
  <c r="D156" i="2"/>
  <c r="D127" i="2"/>
  <c r="D104" i="2"/>
  <c r="D411" i="2"/>
  <c r="D391" i="2"/>
  <c r="D372" i="2"/>
  <c r="D352" i="2"/>
  <c r="D332" i="2"/>
  <c r="D311" i="2"/>
  <c r="D288" i="2"/>
  <c r="D267" i="2"/>
  <c r="D243" i="2"/>
  <c r="D219" i="2"/>
  <c r="D196" i="2"/>
  <c r="D176" i="2"/>
  <c r="D149" i="2"/>
  <c r="D132" i="2"/>
  <c r="D108" i="2"/>
  <c r="D425" i="2"/>
  <c r="D345" i="2"/>
  <c r="D338" i="2"/>
  <c r="D330" i="2"/>
  <c r="D322" i="2"/>
  <c r="D309" i="2"/>
  <c r="D301" i="2"/>
  <c r="D293" i="2"/>
  <c r="D286" i="2"/>
  <c r="D264" i="2"/>
  <c r="D250" i="2"/>
  <c r="D227" i="2"/>
  <c r="D206" i="2"/>
  <c r="D198" i="2"/>
  <c r="D184" i="2"/>
  <c r="D177" i="2"/>
  <c r="D169" i="2"/>
  <c r="D134" i="2"/>
  <c r="D126" i="2"/>
  <c r="D118" i="2"/>
  <c r="D110" i="2"/>
  <c r="D428" i="2"/>
  <c r="D408" i="2"/>
  <c r="D388" i="2"/>
  <c r="D371" i="2"/>
  <c r="D351" i="2"/>
  <c r="D331" i="2"/>
  <c r="D308" i="2"/>
  <c r="D287" i="2"/>
  <c r="D263" i="2"/>
  <c r="D240" i="2"/>
  <c r="D215" i="2"/>
  <c r="D195" i="2"/>
  <c r="D175" i="2"/>
  <c r="D148" i="2"/>
  <c r="D131" i="2"/>
  <c r="D107" i="2"/>
  <c r="D424" i="2"/>
  <c r="D410" i="2"/>
  <c r="D387" i="2"/>
  <c r="D366" i="2"/>
  <c r="D358" i="2"/>
  <c r="D344" i="2"/>
  <c r="D337" i="2"/>
  <c r="D329" i="2"/>
  <c r="D321" i="2"/>
  <c r="D285" i="2"/>
  <c r="D278" i="2"/>
  <c r="D271" i="2"/>
  <c r="D249" i="2"/>
  <c r="D242" i="2"/>
  <c r="D234" i="2"/>
  <c r="D226" i="2"/>
  <c r="D220" i="2"/>
  <c r="D213" i="2"/>
  <c r="D205" i="2"/>
  <c r="D197" i="2"/>
  <c r="D190" i="2"/>
  <c r="D168" i="2"/>
  <c r="D154" i="2"/>
  <c r="D140" i="2"/>
  <c r="D133" i="2"/>
  <c r="D125" i="2"/>
  <c r="D117" i="2"/>
  <c r="D109" i="2"/>
  <c r="D102" i="2"/>
  <c r="D427" i="2"/>
  <c r="D407" i="2"/>
  <c r="D385" i="2"/>
  <c r="D368" i="2"/>
  <c r="D348" i="2"/>
  <c r="D327" i="2"/>
  <c r="D307" i="2"/>
  <c r="D283" i="2"/>
  <c r="D260" i="2"/>
  <c r="D236" i="2"/>
  <c r="D212" i="2"/>
  <c r="D192" i="2"/>
  <c r="D171" i="2"/>
  <c r="D147" i="2"/>
  <c r="D128" i="2"/>
  <c r="D103" i="2"/>
  <c r="D409" i="2"/>
  <c r="D402" i="2"/>
  <c r="D394" i="2"/>
  <c r="D386" i="2"/>
  <c r="D380" i="2"/>
  <c r="D373" i="2"/>
  <c r="D365" i="2"/>
  <c r="D357" i="2"/>
  <c r="D350" i="2"/>
  <c r="D328" i="2"/>
  <c r="D314" i="2"/>
  <c r="D291" i="2"/>
  <c r="D270" i="2"/>
  <c r="D262" i="2"/>
  <c r="D248" i="2"/>
  <c r="D241" i="2"/>
  <c r="D233" i="2"/>
  <c r="D225" i="2"/>
  <c r="D189" i="2"/>
  <c r="D182" i="2"/>
  <c r="D153" i="2"/>
  <c r="D146" i="2"/>
  <c r="D124" i="2"/>
  <c r="D101" i="2"/>
  <c r="D423" i="2"/>
  <c r="D404" i="2"/>
  <c r="D384" i="2"/>
  <c r="D367" i="2"/>
  <c r="D347" i="2"/>
  <c r="D324" i="2"/>
  <c r="D304" i="2"/>
  <c r="D279" i="2"/>
  <c r="D256" i="2"/>
  <c r="D235" i="2"/>
  <c r="D211" i="2"/>
  <c r="D191" i="2"/>
  <c r="D167" i="2"/>
  <c r="D144" i="2"/>
  <c r="D123" i="2"/>
  <c r="D100" i="2"/>
  <c r="D422" i="2"/>
  <c r="D401" i="2"/>
  <c r="D393" i="2"/>
  <c r="D335" i="2"/>
  <c r="D313" i="2"/>
  <c r="D306" i="2"/>
  <c r="D298" i="2"/>
  <c r="D290" i="2"/>
  <c r="D284" i="2"/>
  <c r="D277" i="2"/>
  <c r="D269" i="2"/>
  <c r="D261" i="2"/>
  <c r="D254" i="2"/>
  <c r="D232" i="2"/>
  <c r="D218" i="2"/>
  <c r="D174" i="2"/>
  <c r="D166" i="2"/>
  <c r="D152" i="2"/>
  <c r="D145" i="2"/>
  <c r="D138" i="2"/>
  <c r="D115" i="2"/>
  <c r="D420" i="2"/>
  <c r="D403" i="2"/>
  <c r="D383" i="2"/>
  <c r="D364" i="2"/>
  <c r="D343" i="2"/>
  <c r="D320" i="2"/>
  <c r="D300" i="2"/>
  <c r="D276" i="2"/>
  <c r="D255" i="2"/>
  <c r="D231" i="2"/>
  <c r="D208" i="2"/>
  <c r="D187" i="2"/>
  <c r="D164" i="2"/>
  <c r="D143" i="2"/>
  <c r="D119" i="2"/>
  <c r="D421" i="2"/>
  <c r="D414" i="2"/>
  <c r="D392" i="2"/>
  <c r="D378" i="2"/>
  <c r="D355" i="2"/>
  <c r="D334" i="2"/>
  <c r="D326" i="2"/>
  <c r="D312" i="2"/>
  <c r="D305" i="2"/>
  <c r="D297" i="2"/>
  <c r="D239" i="2"/>
  <c r="D217" i="2"/>
  <c r="D210" i="2"/>
  <c r="D202" i="2"/>
  <c r="D194" i="2"/>
  <c r="D188" i="2"/>
  <c r="D181" i="2"/>
  <c r="D173" i="2"/>
  <c r="D165" i="2"/>
  <c r="D158" i="2"/>
  <c r="D151" i="2"/>
  <c r="D130" i="2"/>
  <c r="D122" i="2"/>
  <c r="D114" i="2"/>
  <c r="AH66" i="2"/>
  <c r="AH67" i="2"/>
  <c r="AH59" i="2"/>
  <c r="AH70" i="2"/>
  <c r="AH62" i="2"/>
  <c r="AH65" i="2"/>
  <c r="AH64" i="2"/>
  <c r="AH63" i="2"/>
  <c r="AH69" i="2"/>
  <c r="AH61" i="2"/>
  <c r="AH68" i="2"/>
  <c r="AH60" i="2"/>
  <c r="BQ29" i="2"/>
  <c r="BQ44" i="2"/>
  <c r="BQ40" i="2"/>
  <c r="BQ55" i="2"/>
  <c r="BQ39" i="2"/>
  <c r="BQ52" i="2"/>
  <c r="BQ36" i="2"/>
  <c r="BQ56" i="2"/>
  <c r="BQ51" i="2"/>
  <c r="BQ35" i="2"/>
  <c r="BQ48" i="2"/>
  <c r="BQ32" i="2"/>
  <c r="BQ27" i="2"/>
  <c r="BQ47" i="2"/>
  <c r="BQ31" i="2"/>
  <c r="BQ58" i="2"/>
  <c r="BQ50" i="2"/>
  <c r="BQ42" i="2"/>
  <c r="BQ34" i="2"/>
  <c r="BQ57" i="2"/>
  <c r="BQ49" i="2"/>
  <c r="BQ41" i="2"/>
  <c r="BQ33" i="2"/>
  <c r="BQ54" i="2"/>
  <c r="BQ46" i="2"/>
  <c r="BQ38" i="2"/>
  <c r="BQ30" i="2"/>
  <c r="BQ53" i="2"/>
  <c r="BQ45" i="2"/>
  <c r="BQ37" i="2"/>
  <c r="AY29" i="2"/>
  <c r="AY44" i="2"/>
  <c r="AY30" i="2"/>
  <c r="AY45" i="2"/>
  <c r="AY31" i="2"/>
  <c r="AY38" i="2"/>
  <c r="AY46" i="2"/>
  <c r="AY54" i="2"/>
  <c r="AY32" i="2"/>
  <c r="AY39" i="2"/>
  <c r="AY47" i="2"/>
  <c r="AY55" i="2"/>
  <c r="AY33" i="2"/>
  <c r="AY40" i="2"/>
  <c r="AY48" i="2"/>
  <c r="AY56" i="2"/>
  <c r="AY34" i="2"/>
  <c r="AY41" i="2"/>
  <c r="AY49" i="2"/>
  <c r="AY57" i="2"/>
  <c r="AY37" i="2"/>
  <c r="AY53" i="2"/>
  <c r="AY35" i="2"/>
  <c r="AY42" i="2"/>
  <c r="AY50" i="2"/>
  <c r="AY58" i="2"/>
  <c r="AY27" i="2"/>
  <c r="AY36" i="2"/>
  <c r="AY43" i="2"/>
  <c r="AY51" i="2"/>
  <c r="AY52" i="2"/>
  <c r="AX26" i="2"/>
  <c r="AY26" i="2" s="1"/>
  <c r="AX28" i="2"/>
  <c r="AY28" i="2" s="1"/>
  <c r="BP28" i="2"/>
  <c r="BQ28" i="2" s="1"/>
  <c r="BP26" i="2"/>
  <c r="BQ26" i="2" s="1"/>
  <c r="R29" i="2"/>
  <c r="AH47" i="2"/>
  <c r="R44" i="2"/>
  <c r="R28" i="2"/>
  <c r="R43" i="2"/>
  <c r="R57" i="2"/>
  <c r="R41" i="2"/>
  <c r="R54" i="2"/>
  <c r="R38" i="2"/>
  <c r="R52" i="2"/>
  <c r="R36" i="2"/>
  <c r="R51" i="2"/>
  <c r="R35" i="2"/>
  <c r="R49" i="2"/>
  <c r="R33" i="2"/>
  <c r="R46" i="2"/>
  <c r="R30" i="2"/>
  <c r="R58" i="2"/>
  <c r="R50" i="2"/>
  <c r="R42" i="2"/>
  <c r="R34" i="2"/>
  <c r="R56" i="2"/>
  <c r="R48" i="2"/>
  <c r="R40" i="2"/>
  <c r="R32" i="2"/>
  <c r="R55" i="2"/>
  <c r="R47" i="2"/>
  <c r="R39" i="2"/>
  <c r="R31" i="2"/>
  <c r="R53" i="2"/>
  <c r="R45" i="2"/>
  <c r="R37" i="2"/>
  <c r="AH29" i="2"/>
  <c r="AH30" i="2"/>
  <c r="AH28" i="2"/>
  <c r="AH40" i="2"/>
  <c r="AH35" i="2"/>
  <c r="AH41" i="2"/>
  <c r="AH48" i="2"/>
  <c r="AH32" i="2"/>
  <c r="AH34" i="2"/>
  <c r="AH33" i="2"/>
  <c r="AH39" i="2"/>
  <c r="AH46" i="2"/>
  <c r="AH53" i="2"/>
  <c r="AH54" i="2"/>
  <c r="AH42" i="2"/>
  <c r="AH49" i="2"/>
  <c r="AH56" i="2"/>
  <c r="AH36" i="2"/>
  <c r="AH43" i="2"/>
  <c r="AH57" i="2"/>
  <c r="AH37" i="2"/>
  <c r="AH44" i="2"/>
  <c r="AH50" i="2"/>
  <c r="AH58" i="2"/>
  <c r="AH31" i="2"/>
  <c r="AH51" i="2"/>
  <c r="AH55" i="2"/>
  <c r="AH38" i="2"/>
  <c r="AH45" i="2"/>
  <c r="AH52" i="2"/>
  <c r="AG27" i="2"/>
  <c r="AH27" i="2" s="1"/>
  <c r="AG26" i="2"/>
  <c r="AH26" i="2" s="1"/>
  <c r="D27" i="2"/>
  <c r="D62" i="2"/>
  <c r="D75" i="2"/>
  <c r="D80" i="2"/>
  <c r="D97" i="2"/>
  <c r="D89" i="2"/>
  <c r="D76" i="2"/>
  <c r="D60" i="2"/>
  <c r="D96" i="2"/>
  <c r="D88" i="2"/>
  <c r="D61" i="2"/>
  <c r="D79" i="2"/>
  <c r="D74" i="2"/>
  <c r="D59" i="2"/>
  <c r="D95" i="2"/>
  <c r="D87" i="2"/>
  <c r="D63" i="2"/>
  <c r="D94" i="2"/>
  <c r="D86" i="2"/>
  <c r="D90" i="2"/>
  <c r="D69" i="2"/>
  <c r="D78" i="2"/>
  <c r="D68" i="2"/>
  <c r="D84" i="2"/>
  <c r="D93" i="2"/>
  <c r="D85" i="2"/>
  <c r="D65" i="2"/>
  <c r="D81" i="2"/>
  <c r="D64" i="2"/>
  <c r="D73" i="2"/>
  <c r="D77" i="2"/>
  <c r="D67" i="2"/>
  <c r="D83" i="2"/>
  <c r="D92" i="2"/>
  <c r="D98" i="2"/>
  <c r="D71" i="2"/>
  <c r="D70" i="2"/>
  <c r="D72" i="2"/>
  <c r="D66" i="2"/>
  <c r="D82" i="2"/>
  <c r="D91" i="2"/>
  <c r="D37" i="2"/>
  <c r="Q26" i="2"/>
  <c r="R26" i="2" s="1"/>
  <c r="Q27" i="2"/>
  <c r="R27" i="2" s="1"/>
  <c r="D58" i="2"/>
  <c r="D45" i="2"/>
  <c r="D52" i="2"/>
  <c r="D32" i="2"/>
  <c r="D39" i="2"/>
  <c r="D47" i="2"/>
  <c r="D53" i="2"/>
  <c r="D31" i="2"/>
  <c r="D46" i="2"/>
  <c r="D40" i="2"/>
  <c r="D48" i="2"/>
  <c r="D54" i="2"/>
  <c r="D30" i="2"/>
  <c r="D44" i="2"/>
  <c r="D33" i="2"/>
  <c r="D38" i="2"/>
  <c r="D55" i="2"/>
  <c r="D29" i="2"/>
  <c r="D42" i="2"/>
  <c r="D49" i="2"/>
  <c r="D56" i="2"/>
  <c r="D35" i="2"/>
  <c r="D50" i="2"/>
  <c r="D51" i="2"/>
  <c r="D41" i="2"/>
  <c r="D36" i="2"/>
  <c r="D43" i="2"/>
  <c r="D57" i="2"/>
  <c r="D34" i="2"/>
  <c r="C26" i="2"/>
  <c r="D26" i="2" s="1"/>
  <c r="C28" i="2"/>
  <c r="D28" i="2" s="1"/>
  <c r="A30" i="2" a="1"/>
  <c r="A30" i="2" s="1"/>
  <c r="AE33" i="2" l="1" a="1"/>
  <c r="AE33" i="2" s="1"/>
  <c r="BN33" i="2" a="1"/>
  <c r="BN33" i="2" s="1"/>
  <c r="AV33" i="2" a="1"/>
  <c r="AV33" i="2" s="1"/>
  <c r="O33" i="2" a="1"/>
  <c r="O3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tc={9250D8FB-458F-49F4-BD59-87462EBC7AB4}</author>
  </authors>
  <commentList>
    <comment ref="C19" authorId="0" shapeId="0" xr:uid="{9250D8FB-458F-49F4-BD59-87462EBC7AB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Item Requests is the numbers of accesses to the FULL TEXT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<sst xmlns="http://schemas.openxmlformats.org/spreadsheetml/2006/main" count="3672" uniqueCount="125">
  <si>
    <t>Title</t>
  </si>
  <si>
    <t>Unique_Item_Requests</t>
  </si>
  <si>
    <t>Total_Item_Requests</t>
  </si>
  <si>
    <t>Total_Item_Investigations</t>
  </si>
  <si>
    <t>Unique_Item_Investigations</t>
  </si>
  <si>
    <t>Sessions</t>
  </si>
  <si>
    <t>Platform</t>
  </si>
  <si>
    <t>Subject</t>
  </si>
  <si>
    <t>OrderDescription</t>
  </si>
  <si>
    <t>OrderNumber</t>
  </si>
  <si>
    <t>UsedByCustomer</t>
  </si>
  <si>
    <t>Group</t>
  </si>
  <si>
    <t>User</t>
  </si>
  <si>
    <t>Month</t>
  </si>
  <si>
    <t>Year</t>
  </si>
  <si>
    <t>Month-Year</t>
  </si>
  <si>
    <t>MEASURES1</t>
  </si>
  <si>
    <t>(All)</t>
  </si>
  <si>
    <t>Values</t>
  </si>
  <si>
    <t>X_Axis</t>
  </si>
  <si>
    <t>Y_Axis</t>
  </si>
  <si>
    <t>Row Labels</t>
  </si>
  <si>
    <t xml:space="preserve"> Sessions</t>
  </si>
  <si>
    <t xml:space="preserve"> Total_Item_Requests</t>
  </si>
  <si>
    <t xml:space="preserve"> Unique_Item_Requests</t>
  </si>
  <si>
    <t xml:space="preserve"> Total_Item_Investigations</t>
  </si>
  <si>
    <t xml:space="preserve"> Unique_Item_Investigations</t>
  </si>
  <si>
    <t xml:space="preserve"> User</t>
  </si>
  <si>
    <t>Grand Total</t>
  </si>
  <si>
    <t>Last row usado X_AXIS</t>
  </si>
  <si>
    <t>Last row usado PIVOT TABLE</t>
  </si>
  <si>
    <t>Calculated Measure name</t>
  </si>
  <si>
    <t xml:space="preserve"> UsedByCustomer</t>
  </si>
  <si>
    <t>Calculated Mesuare Name 2</t>
  </si>
  <si>
    <t xml:space="preserve">Webstats report generated for: </t>
  </si>
  <si>
    <t>Period analyzed:</t>
  </si>
  <si>
    <t>Type:</t>
  </si>
  <si>
    <t>OCE</t>
  </si>
  <si>
    <t>Resource</t>
  </si>
  <si>
    <t>REFRESH DATA</t>
  </si>
  <si>
    <t>Lippincott</t>
  </si>
  <si>
    <t>Journal report</t>
  </si>
  <si>
    <t>OvidSP</t>
  </si>
  <si>
    <t>Anesthesia &amp; Analgesia</t>
  </si>
  <si>
    <t>Critical Care Medicine</t>
  </si>
  <si>
    <t>Obstetrics &amp; Gynecology</t>
  </si>
  <si>
    <t>Annals of Surgery</t>
  </si>
  <si>
    <t>Journal of Bone and Joint Surgery</t>
  </si>
  <si>
    <t>Clinical Obstetrics &amp; Gynecology</t>
  </si>
  <si>
    <t>JBJS Open Access</t>
  </si>
  <si>
    <t>Circulation</t>
  </si>
  <si>
    <t>Annals of Plastic Surgery</t>
  </si>
  <si>
    <t>(blank)</t>
  </si>
  <si>
    <t>Pediatric Emergency Care</t>
  </si>
  <si>
    <t>Current Opinion in Rheumatology</t>
  </si>
  <si>
    <t>JBJS Case Connector</t>
  </si>
  <si>
    <t>Current Opinion in Pulmonary Medicine</t>
  </si>
  <si>
    <t>General Medicine</t>
  </si>
  <si>
    <t>Current Opinion in Obstetrics &amp; Gynecology</t>
  </si>
  <si>
    <t>Current Opinion in Infectious Diseases</t>
  </si>
  <si>
    <t>Sint Franciscus Gasthuis</t>
  </si>
  <si>
    <t>Current Opinion in Nephrology &amp; Hypertension</t>
  </si>
  <si>
    <t>Current Opinion in Oncology</t>
  </si>
  <si>
    <t>Obstetrical &amp; Gynecological Survey</t>
  </si>
  <si>
    <t>Survey of Anesthesiology</t>
  </si>
  <si>
    <t>Current Opinion in Gastroenterology</t>
  </si>
  <si>
    <t>Current Opinion in Cardiology</t>
  </si>
  <si>
    <t>Journal of Clinical Oncology</t>
  </si>
  <si>
    <t>New England Journal of Medicine</t>
  </si>
  <si>
    <t>Current Opinion in Anaesthesiology</t>
  </si>
  <si>
    <t>Journal of Bronchology &amp; Interventional Pulmonology</t>
  </si>
  <si>
    <t>A&amp;A Practice</t>
  </si>
  <si>
    <t>January 2023 - October 2023</t>
  </si>
  <si>
    <t>American Journal of Psychiatry</t>
  </si>
  <si>
    <t>Psychiatry</t>
  </si>
  <si>
    <t>Ovid Mental Health Collection</t>
  </si>
  <si>
    <t>GGZ Drenthe</t>
  </si>
  <si>
    <t>ggzdrenthe</t>
  </si>
  <si>
    <t>British Journal of Psychiatry</t>
  </si>
  <si>
    <t>Ovid Mental Health Collection 2018 (Renewal Only)</t>
  </si>
  <si>
    <t>Current Opinion in Psychiatry</t>
  </si>
  <si>
    <t>JAMA Psychiatry</t>
  </si>
  <si>
    <t>Journal of Clinical Psychopharmacology</t>
  </si>
  <si>
    <t>Psychopharmacology</t>
  </si>
  <si>
    <t>Journal of the American Academy of Child &amp; Adolescent Psychiatry</t>
  </si>
  <si>
    <t>LWW PsycINFO Collection</t>
  </si>
  <si>
    <t>Psychological Medicine</t>
  </si>
  <si>
    <t>Psychology</t>
  </si>
  <si>
    <t>Psychosomatic Medicine</t>
  </si>
  <si>
    <t>Annual Review of Psychology</t>
  </si>
  <si>
    <t>BMJ</t>
  </si>
  <si>
    <t>BMJ - The</t>
  </si>
  <si>
    <t>Harvard Review of Psychiatry</t>
  </si>
  <si>
    <t>Ovid Mental Health Collection 2021 (Renewal Only)</t>
  </si>
  <si>
    <t>Journal of Nervous &amp; Mental Disease</t>
  </si>
  <si>
    <t>Journal of Nervous and Mental Disease, The</t>
  </si>
  <si>
    <t>Journal of Psychiatric Practice</t>
  </si>
  <si>
    <t>Psychiatric Services</t>
  </si>
  <si>
    <t>Ovid Mental Health Collection 2022 (Renewal Only)</t>
  </si>
  <si>
    <t>American Journal of Geriatric Psychiatry</t>
  </si>
  <si>
    <t>American Journal of Geriatric Psychiatry (FOR TOTAL ACCESS ONLY)</t>
  </si>
  <si>
    <t>drenthe</t>
  </si>
  <si>
    <t>Archives of General Psychiatry</t>
  </si>
  <si>
    <t>Ovid Insights</t>
  </si>
  <si>
    <t>Journal of Developmental &amp; Behavioral Pediatrics</t>
  </si>
  <si>
    <t>Pediatrics</t>
  </si>
  <si>
    <t>Nursing Research</t>
  </si>
  <si>
    <t>Research &amp; Theory</t>
  </si>
  <si>
    <t>Canadian Journal of Addiction</t>
  </si>
  <si>
    <t>Addiction Disorder</t>
  </si>
  <si>
    <t>JBI Library of Systematic Reviews</t>
  </si>
  <si>
    <t>JBI Complete Collection</t>
  </si>
  <si>
    <t>International Clinical Psychopharmacology</t>
  </si>
  <si>
    <t>Psychiatric Annals</t>
  </si>
  <si>
    <t>Cognitive and Behavioral Neurology</t>
  </si>
  <si>
    <t>Neurology</t>
  </si>
  <si>
    <t>Journal of Addiction Medicine</t>
  </si>
  <si>
    <t>Acta Psychiatrica Scandinavica</t>
  </si>
  <si>
    <t>Perceptual and Motor Skills</t>
  </si>
  <si>
    <t>Psychological Reports</t>
  </si>
  <si>
    <t>Alcoholism: Clinical &amp; Experimental Research</t>
  </si>
  <si>
    <t>The Journal of ECT</t>
  </si>
  <si>
    <t>Clinical Neuropharmacology</t>
  </si>
  <si>
    <t>MCN: The American Journal of Maternal/Child Nursing</t>
  </si>
  <si>
    <t>Obstetrics &amp; Women's Health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</si>
</sst>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rgb="FF80808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rgb="FF80808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2" xfId="0" applyFill="1" applyBorder="1"/>
    <xf numFmtId="0" fontId="0" fillId="4" borderId="5" xfId="0" applyFill="1" applyBorder="1"/>
    <xf numFmtId="0" fontId="1" fillId="4" borderId="3" xfId="0" applyFont="1" applyFill="1" applyBorder="1"/>
    <xf numFmtId="0" fontId="1" fillId="4" borderId="0" xfId="0" applyFont="1" applyFill="1"/>
    <xf numFmtId="0" fontId="1" fillId="4" borderId="2" xfId="0" applyFont="1" applyFill="1" applyBorder="1"/>
    <xf numFmtId="0" fontId="1" fillId="4" borderId="4" xfId="0" applyFont="1" applyFill="1" applyBorder="1"/>
    <xf numFmtId="0" fontId="0" fillId="5" borderId="0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7" xfId="0" applyFill="1" applyBorder="1"/>
    <xf numFmtId="0" fontId="1" fillId="5" borderId="8" xfId="0" applyFont="1" applyFill="1" applyBorder="1"/>
    <xf numFmtId="0" fontId="0" fillId="5" borderId="2" xfId="0" applyFill="1" applyBorder="1"/>
    <xf numFmtId="0" fontId="1" fillId="5" borderId="3" xfId="0" applyFont="1" applyFill="1" applyBorder="1"/>
    <xf numFmtId="0" fontId="1" fillId="5" borderId="0" xfId="0" applyFont="1" applyFill="1" applyBorder="1"/>
    <xf numFmtId="0" fontId="0" fillId="5" borderId="6" xfId="0" applyFill="1" applyBorder="1"/>
    <xf numFmtId="0" fontId="0" fillId="5" borderId="3" xfId="0" applyFill="1" applyBorder="1"/>
    <xf numFmtId="0" fontId="0" fillId="5" borderId="2" xfId="0" applyFill="1" applyBorder="1" applyAlignment="1">
      <alignment horizontal="left"/>
    </xf>
    <xf numFmtId="0" fontId="0" fillId="5" borderId="2" xfId="0" applyNumberFormat="1" applyFill="1" applyBorder="1"/>
    <xf numFmtId="0" fontId="1" fillId="5" borderId="4" xfId="0" applyFont="1" applyFill="1" applyBorder="1"/>
    <xf numFmtId="0" fontId="0" fillId="6" borderId="0" xfId="0" applyFill="1"/>
    <xf numFmtId="0" fontId="0" fillId="6" borderId="0" xfId="0" applyFill="1" applyAlignment="1">
      <alignment horizontal="left"/>
    </xf>
    <xf numFmtId="0" fontId="0" fillId="6" borderId="0" xfId="0" applyFill="1" applyBorder="1"/>
    <xf numFmtId="0" fontId="0" fillId="6" borderId="7" xfId="0" applyFill="1" applyBorder="1"/>
    <xf numFmtId="0" fontId="1" fillId="6" borderId="3" xfId="0" applyFont="1" applyFill="1" applyBorder="1"/>
    <xf numFmtId="0" fontId="0" fillId="6" borderId="2" xfId="0" applyFill="1" applyBorder="1"/>
    <xf numFmtId="0" fontId="1" fillId="6" borderId="0" xfId="0" applyFont="1" applyFill="1" applyBorder="1"/>
    <xf numFmtId="0" fontId="0" fillId="6" borderId="3" xfId="0" applyFill="1" applyBorder="1"/>
    <xf numFmtId="0" fontId="1" fillId="6" borderId="4" xfId="0" applyFont="1" applyFill="1" applyBorder="1"/>
    <xf numFmtId="0" fontId="0" fillId="7" borderId="0" xfId="0" applyFill="1"/>
    <xf numFmtId="0" fontId="0" fillId="7" borderId="0" xfId="0" applyFill="1" applyBorder="1"/>
    <xf numFmtId="0" fontId="0" fillId="7" borderId="7" xfId="0" applyFill="1" applyBorder="1"/>
    <xf numFmtId="0" fontId="1" fillId="7" borderId="3" xfId="0" applyFont="1" applyFill="1" applyBorder="1"/>
    <xf numFmtId="0" fontId="0" fillId="7" borderId="2" xfId="0" applyFill="1" applyBorder="1"/>
    <xf numFmtId="0" fontId="1" fillId="7" borderId="0" xfId="0" applyFont="1" applyFill="1" applyBorder="1"/>
    <xf numFmtId="0" fontId="0" fillId="7" borderId="6" xfId="0" applyFill="1" applyBorder="1"/>
    <xf numFmtId="0" fontId="0" fillId="7" borderId="3" xfId="0" applyFill="1" applyBorder="1"/>
    <xf numFmtId="0" fontId="0" fillId="7" borderId="2" xfId="0" applyFill="1" applyBorder="1" applyAlignment="1">
      <alignment horizontal="left"/>
    </xf>
    <xf numFmtId="0" fontId="0" fillId="7" borderId="2" xfId="0" applyNumberFormat="1" applyFill="1" applyBorder="1"/>
    <xf numFmtId="0" fontId="1" fillId="7" borderId="4" xfId="0" applyFont="1" applyFill="1" applyBorder="1"/>
    <xf numFmtId="0" fontId="0" fillId="8" borderId="0" xfId="0" applyFill="1"/>
    <xf numFmtId="0" fontId="0" fillId="8" borderId="0" xfId="0" applyFill="1" applyBorder="1"/>
    <xf numFmtId="0" fontId="0" fillId="8" borderId="7" xfId="0" applyFill="1" applyBorder="1"/>
    <xf numFmtId="0" fontId="1" fillId="8" borderId="3" xfId="0" applyFont="1" applyFill="1" applyBorder="1"/>
    <xf numFmtId="0" fontId="0" fillId="8" borderId="2" xfId="0" applyFill="1" applyBorder="1"/>
    <xf numFmtId="0" fontId="1" fillId="8" borderId="0" xfId="0" applyFont="1" applyFill="1" applyBorder="1"/>
    <xf numFmtId="0" fontId="0" fillId="8" borderId="6" xfId="0" applyFill="1" applyBorder="1"/>
    <xf numFmtId="0" fontId="0" fillId="8" borderId="3" xfId="0" applyFill="1" applyBorder="1"/>
    <xf numFmtId="0" fontId="1" fillId="8" borderId="4" xfId="0" applyFont="1" applyFill="1" applyBorder="1"/>
    <xf numFmtId="17" fontId="0" fillId="0" borderId="0" xfId="0" applyNumberFormat="1"/>
    <xf numFmtId="0" fontId="2" fillId="2" borderId="0" xfId="0" applyFont="1" applyFill="1"/>
    <xf numFmtId="0" fontId="0" fillId="2" borderId="0" xfId="0" applyFont="1" applyFill="1"/>
    <xf numFmtId="0" fontId="3" fillId="2" borderId="0" xfId="0" applyFont="1" applyFill="1"/>
    <xf numFmtId="0" fontId="0" fillId="9" borderId="0" xfId="0" applyFill="1"/>
    <xf numFmtId="0" fontId="0" fillId="3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2" borderId="0" xfId="0" applyFont="1" applyFill="1" applyAlignment="1">
      <alignment horizontal="left"/>
    </xf>
    <xf numFmtId="17" fontId="0" fillId="6" borderId="0" xfId="0" applyNumberFormat="1" applyFill="1"/>
    <xf numFmtId="17" fontId="0" fillId="6" borderId="6" xfId="0" applyNumberFormat="1" applyFill="1" applyBorder="1"/>
    <xf numFmtId="0" fontId="4" fillId="2" borderId="0" xfId="0" applyFont="1" applyFill="1" applyAlignment="1">
      <alignment horizontal="left"/>
    </xf>
    <xf numFmtId="0" fontId="5" fillId="2" borderId="0" xfId="0" applyFont="1" applyFill="1"/>
    <xf numFmtId="0" fontId="0" fillId="8" borderId="2" xfId="0" applyFill="1" applyBorder="1" applyAlignment="1">
      <alignment horizontal="left"/>
    </xf>
    <xf numFmtId="0" fontId="0" fillId="8" borderId="2" xfId="0" applyNumberFormat="1" applyFill="1" applyBorder="1"/>
    <xf numFmtId="0" fontId="0" fillId="0" borderId="2" xfId="0" applyNumberFormat="1" applyBorder="1"/>
    <xf numFmtId="0" fontId="0" fillId="0" borderId="2" xfId="0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0" fontId="0" fillId="0" borderId="0" xfId="0" applyBorder="1"/>
    <xf numFmtId="0" fontId="0" fillId="0" borderId="9" xfId="0" applyBorder="1"/>
    <xf numFmtId="0" fontId="0" fillId="2" borderId="9" xfId="0" applyFill="1" applyBorder="1"/>
    <xf numFmtId="0" fontId="6" fillId="0" borderId="2" xfId="0" pivotButton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2" xfId="0" pivotButton="1" applyBorder="1"/>
    <xf numFmtId="0" fontId="0" fillId="0" borderId="2" xfId="0" applyBorder="1"/>
    <xf numFmtId="17" fontId="0" fillId="3" borderId="0" xfId="0" applyNumberFormat="1" applyFill="1"/>
    <xf numFmtId="17" fontId="0" fillId="9" borderId="0" xfId="0" applyNumberFormat="1" applyFill="1"/>
    <xf numFmtId="17" fontId="0" fillId="2" borderId="0" xfId="0" applyNumberFormat="1" applyFont="1" applyFill="1"/>
    <xf numFmtId="17" fontId="7" fillId="2" borderId="0" xfId="0" applyNumberFormat="1" applyFont="1" applyFill="1"/>
    <xf numFmtId="17" fontId="0" fillId="2" borderId="0" xfId="0" applyNumberFormat="1" applyFill="1" applyBorder="1"/>
    <xf numFmtId="17" fontId="0" fillId="2" borderId="0" xfId="0" applyNumberFormat="1" applyFill="1"/>
    <xf numFmtId="0" fontId="8" fillId="3" borderId="0" xfId="0" applyFont="1" applyFill="1"/>
    <xf numFmtId="0" fontId="8" fillId="2" borderId="0" xfId="0" applyFont="1" applyFill="1" applyBorder="1"/>
    <xf numFmtId="0" fontId="8" fillId="3" borderId="0" xfId="0" applyFont="1" applyFill="1" applyBorder="1"/>
    <xf numFmtId="0" fontId="0" fillId="3" borderId="0" xfId="0" applyFill="1" applyBorder="1"/>
    <xf numFmtId="17" fontId="0" fillId="0" borderId="0" xfId="0" applyNumberFormat="1" applyBorder="1"/>
    <xf numFmtId="17" fontId="1" fillId="0" borderId="1" xfId="0" applyNumberFormat="1" applyFont="1" applyBorder="1" applyAlignment="1">
      <alignment horizontal="center" vertical="top"/>
    </xf>
    <xf numFmtId="0" fontId="0" fillId="4" borderId="2" xfId="0" applyFill="1" applyBorder="1" applyAlignment="1">
      <alignment horizontal="left"/>
    </xf>
    <xf numFmtId="0" fontId="0" fillId="4" borderId="2" xfId="0" applyNumberFormat="1" applyFill="1" applyBorder="1"/>
    <xf numFmtId="17" fontId="0" fillId="0" borderId="2" xfId="0" applyNumberFormat="1" applyBorder="1"/>
    <xf numFmtId="17" fontId="0" fillId="0" borderId="0" xfId="0" applyNumberFormat="1" applyAlignment="1">
      <alignment horizontal="left"/>
    </xf>
    <xf numFmtId="0" fontId="0" fillId="0" borderId="0" xfId="0" applyNumberFormat="1"/>
    <xf numFmtId="0" fontId="0" fillId="6" borderId="2" xfId="0" applyNumberFormat="1" applyFill="1" applyBorder="1"/>
    <xf numFmtId="17" fontId="0" fillId="6" borderId="2" xfId="0" applyNumberFormat="1" applyFill="1" applyBorder="1" applyAlignment="1">
      <alignment horizontal="left"/>
    </xf>
  </cellXfs>
  <cellStyles count="1">
    <cellStyle name="Normal" xfId="0" builtinId="0"/>
  </cellStyles>
  <dxfs count="161">
    <dxf>
      <numFmt numFmtId="22" formatCode="mmm\-yy"/>
    </dxf>
    <dxf>
      <alignment horizontal="center"/>
    </dxf>
    <dxf>
      <font>
        <sz val="14"/>
      </font>
    </dxf>
    <dxf>
      <font>
        <sz val="14"/>
      </font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alignment horizontal="center"/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fill>
        <patternFill patternType="solid">
          <fgColor indexed="64"/>
          <bgColor theme="6" tint="0.39997558519241921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0.59999389629810485"/>
        </patternFill>
      </fill>
    </dxf>
    <dxf>
      <fill>
        <patternFill>
          <fgColor indexed="64"/>
          <bgColor theme="3" tint="0.5999938962981048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numFmt numFmtId="22" formatCode="mmm\-yy"/>
    </dxf>
    <dxf>
      <numFmt numFmtId="22" formatCode="mmm\-yy"/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>
          <bgColor theme="6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3" tint="0.59999389629810485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>
          <bgColor theme="9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>
          <bgColor theme="7" tint="0.59999389629810485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top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[controller_template.xlsm]Stats Graphs!PivotTable1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'Stats Graphs'!$C$19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'Stats Graphs'!$B$20:$B$47</c:f>
              <c:strCache>
                <c:ptCount val="27"/>
                <c:pt idx="0">
                  <c:v>Critical Care Medicine</c:v>
                </c:pt>
                <c:pt idx="1">
                  <c:v>Circulation</c:v>
                </c:pt>
                <c:pt idx="2">
                  <c:v>Anesthesia &amp; Analgesia</c:v>
                </c:pt>
                <c:pt idx="3">
                  <c:v>Obstetrics &amp; Gynecology</c:v>
                </c:pt>
                <c:pt idx="4">
                  <c:v>Journal of Bone and Joint Surgery</c:v>
                </c:pt>
                <c:pt idx="5">
                  <c:v>Current Opinion in Nephrology &amp; Hypertension</c:v>
                </c:pt>
                <c:pt idx="6">
                  <c:v>New England Journal of Medicine</c:v>
                </c:pt>
                <c:pt idx="7">
                  <c:v>Annals of Surgery</c:v>
                </c:pt>
                <c:pt idx="8">
                  <c:v>Current Opinion in Pulmonary Medicine</c:v>
                </c:pt>
                <c:pt idx="9">
                  <c:v>Current Opinion in Anaesthesiology</c:v>
                </c:pt>
                <c:pt idx="10">
                  <c:v>Current Opinion in Gastroenterology</c:v>
                </c:pt>
                <c:pt idx="11">
                  <c:v>Clinical Obstetrics &amp; Gynecology</c:v>
                </c:pt>
                <c:pt idx="12">
                  <c:v>Current Opinion in Infectious Diseases</c:v>
                </c:pt>
                <c:pt idx="13">
                  <c:v>Survey of Anesthesiology</c:v>
                </c:pt>
                <c:pt idx="14">
                  <c:v>Current Opinion in Cardiology</c:v>
                </c:pt>
                <c:pt idx="15">
                  <c:v>Journal of Clinical Oncology</c:v>
                </c:pt>
                <c:pt idx="16">
                  <c:v>Current Opinion in Rheumatology</c:v>
                </c:pt>
                <c:pt idx="17">
                  <c:v>Obstetrical &amp; Gynecological Survey</c:v>
                </c:pt>
                <c:pt idx="18">
                  <c:v>A&amp;A Practice</c:v>
                </c:pt>
                <c:pt idx="19">
                  <c:v>Current Opinion in Obstetrics &amp; Gynecology</c:v>
                </c:pt>
                <c:pt idx="20">
                  <c:v>JBJS Case Connector</c:v>
                </c:pt>
                <c:pt idx="21">
                  <c:v>Current Opinion in Oncology</c:v>
                </c:pt>
                <c:pt idx="22">
                  <c:v>Journal of Bronchology &amp; Interventional Pulmonology</c:v>
                </c:pt>
                <c:pt idx="23">
                  <c:v>Annals of Plastic Surgery</c:v>
                </c:pt>
                <c:pt idx="24">
                  <c:v>JBJS Open Access</c:v>
                </c:pt>
                <c:pt idx="25">
                  <c:v>Pediatric Emergency Care</c:v>
                </c:pt>
                <c:pt idx="26">
                  <c:v>(blank)</c:v>
                </c:pt>
              </c:strCache>
            </c:strRef>
          </c:cat>
          <c:val>
            <c:numRef>
              <c:f>'Stats Graphs'!$C$20:$C$47</c:f>
              <c:numCache>
                <c:formatCode>General</c:formatCode>
                <c:ptCount val="27"/>
                <c:pt idx="0">
                  <c:v>181</c:v>
                </c:pt>
                <c:pt idx="1">
                  <c:v>59</c:v>
                </c:pt>
                <c:pt idx="2">
                  <c:v>59</c:v>
                </c:pt>
                <c:pt idx="3">
                  <c:v>21</c:v>
                </c:pt>
                <c:pt idx="4">
                  <c:v>21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5F-4A4D-9970-8E67B33E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448175"/>
        <c:axId val="522447759"/>
      </c:barChart>
      <c:catAx>
        <c:axId val="522448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447759"/>
        <c:crosses val="autoZero"/>
        <c:auto val="1"/>
        <c:lblAlgn val="ctr"/>
        <c:lblOffset val="100"/>
        <c:noMultiLvlLbl val="0"/>
      </c:catAx>
      <c:valAx>
        <c:axId val="52244775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2448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[controller_template.xlsm]Monthly Trend!PivotTable3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Trend'!$C$17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Trend'!$B$18:$B$29</c:f>
              <c:strCache>
                <c:ptCount val="11"/>
                <c:pt idx="0">
                  <c:v>(blank)</c:v>
                </c:pt>
                <c:pt idx="1">
                  <c:v>ene-23</c:v>
                </c:pt>
                <c:pt idx="2">
                  <c:v>feb-23</c:v>
                </c:pt>
                <c:pt idx="3">
                  <c:v>mar-23</c:v>
                </c:pt>
                <c:pt idx="4">
                  <c:v>abr-23</c:v>
                </c:pt>
                <c:pt idx="5">
                  <c:v>may-23</c:v>
                </c:pt>
                <c:pt idx="6">
                  <c:v>jun-23</c:v>
                </c:pt>
                <c:pt idx="7">
                  <c:v>jul-23</c:v>
                </c:pt>
                <c:pt idx="8">
                  <c:v>ago-23</c:v>
                </c:pt>
                <c:pt idx="9">
                  <c:v>sep-23</c:v>
                </c:pt>
                <c:pt idx="10">
                  <c:v>oct-23</c:v>
                </c:pt>
              </c:strCache>
            </c:strRef>
          </c:cat>
          <c:val>
            <c:numRef>
              <c:f>'Monthly Trend'!$C$18:$C$29</c:f>
              <c:numCache>
                <c:formatCode>General</c:formatCode>
                <c:ptCount val="11"/>
                <c:pt idx="1">
                  <c:v>50</c:v>
                </c:pt>
                <c:pt idx="2">
                  <c:v>43</c:v>
                </c:pt>
                <c:pt idx="3">
                  <c:v>40</c:v>
                </c:pt>
                <c:pt idx="4">
                  <c:v>42</c:v>
                </c:pt>
                <c:pt idx="5">
                  <c:v>34</c:v>
                </c:pt>
                <c:pt idx="6">
                  <c:v>27</c:v>
                </c:pt>
                <c:pt idx="7">
                  <c:v>43</c:v>
                </c:pt>
                <c:pt idx="8">
                  <c:v>44</c:v>
                </c:pt>
                <c:pt idx="9">
                  <c:v>52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5D-4DE3-94D1-CADD32B90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9236607"/>
        <c:axId val="562374223"/>
      </c:barChart>
      <c:catAx>
        <c:axId val="88923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2374223"/>
        <c:crosses val="autoZero"/>
        <c:auto val="1"/>
        <c:lblAlgn val="ctr"/>
        <c:lblOffset val="100"/>
        <c:noMultiLvlLbl val="0"/>
      </c:catAx>
      <c:valAx>
        <c:axId val="5623742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8923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chart" Target="../charts/chart1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sv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chart" Target="../charts/chart2.xml"/><Relationship Id="rId5" Type="http://schemas.openxmlformats.org/officeDocument/2006/relationships/image" Target="../media/image15.sv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16</xdr:row>
      <xdr:rowOff>0</xdr:rowOff>
    </xdr:from>
    <xdr:to>
      <xdr:col>16</xdr:col>
      <xdr:colOff>114300</xdr:colOff>
      <xdr:row>21</xdr:row>
      <xdr:rowOff>0</xdr:rowOff>
    </xdr:to>
    <xdr:pic>
      <xdr:nvPicPr>
        <xdr:cNvPr id="6" name="Graphic 5" descr="Badge 1 with solid fill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54900" y="290512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17</xdr:row>
      <xdr:rowOff>0</xdr:rowOff>
    </xdr:from>
    <xdr:to>
      <xdr:col>32</xdr:col>
      <xdr:colOff>114300</xdr:colOff>
      <xdr:row>22</xdr:row>
      <xdr:rowOff>0</xdr:rowOff>
    </xdr:to>
    <xdr:pic>
      <xdr:nvPicPr>
        <xdr:cNvPr id="8" name="Graphic 7" descr="Badge with solid fill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285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17</xdr:row>
      <xdr:rowOff>0</xdr:rowOff>
    </xdr:from>
    <xdr:to>
      <xdr:col>49</xdr:col>
      <xdr:colOff>114300</xdr:colOff>
      <xdr:row>22</xdr:row>
      <xdr:rowOff>0</xdr:rowOff>
    </xdr:to>
    <xdr:pic>
      <xdr:nvPicPr>
        <xdr:cNvPr id="10" name="Graphic 9" descr="Badge 3 with solid fil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5749825" y="30861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65</xdr:col>
      <xdr:colOff>0</xdr:colOff>
      <xdr:row>18</xdr:row>
      <xdr:rowOff>0</xdr:rowOff>
    </xdr:from>
    <xdr:to>
      <xdr:col>65</xdr:col>
      <xdr:colOff>911225</xdr:colOff>
      <xdr:row>23</xdr:row>
      <xdr:rowOff>6350</xdr:rowOff>
    </xdr:to>
    <xdr:pic>
      <xdr:nvPicPr>
        <xdr:cNvPr id="12" name="Graphic 11" descr="Badge 4 with solid fill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494900" y="32766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95250</xdr:colOff>
      <xdr:row>19</xdr:row>
      <xdr:rowOff>171450</xdr:rowOff>
    </xdr:to>
    <xdr:pic>
      <xdr:nvPicPr>
        <xdr:cNvPr id="14" name="Graphic 13" descr="Harvey Balls 0%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85825" y="271462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206375</xdr:colOff>
      <xdr:row>3</xdr:row>
      <xdr:rowOff>162907</xdr:rowOff>
    </xdr:from>
    <xdr:to>
      <xdr:col>21</xdr:col>
      <xdr:colOff>142879</xdr:colOff>
      <xdr:row>8</xdr:row>
      <xdr:rowOff>238813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54B698-86B8-C26E-B07F-5DCBEF30F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87775" y="696307"/>
          <a:ext cx="1758950" cy="1771356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0</xdr:colOff>
      <xdr:row>4</xdr:row>
      <xdr:rowOff>133350</xdr:rowOff>
    </xdr:to>
    <xdr:pic>
      <xdr:nvPicPr>
        <xdr:cNvPr id="9" name="Graphic 8" descr="Repeat with solid fill">
          <a:extLst>
            <a:ext uri="{FF2B5EF4-FFF2-40B4-BE49-F238E27FC236}">
              <a16:creationId xmlns:a16="http://schemas.microsoft.com/office/drawing/2014/main" id="{746F245E-4C0A-2733-386C-D8B896830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820900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481541</xdr:colOff>
      <xdr:row>2</xdr:row>
      <xdr:rowOff>143935</xdr:rowOff>
    </xdr:from>
    <xdr:to>
      <xdr:col>1</xdr:col>
      <xdr:colOff>875240</xdr:colOff>
      <xdr:row>4</xdr:row>
      <xdr:rowOff>117254</xdr:rowOff>
    </xdr:to>
    <xdr:pic macro="[0]!RefreshAll">
      <xdr:nvPicPr>
        <xdr:cNvPr id="13" name="Graphic 12" descr="Repeat with solid fill">
          <a:extLst>
            <a:ext uri="{FF2B5EF4-FFF2-40B4-BE49-F238E27FC236}">
              <a16:creationId xmlns:a16="http://schemas.microsoft.com/office/drawing/2014/main" id="{609C716A-3F47-C7B4-2BDE-A9F5BBB5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1141" y="516468"/>
          <a:ext cx="393699" cy="396653"/>
        </a:xfrm>
        <a:prstGeom prst="rect">
          <a:avLst/>
        </a:prstGeom>
      </xdr:spPr>
    </xdr:pic>
    <xdr:clientData/>
  </xdr:twoCellAnchor>
  <xdr:twoCellAnchor>
    <xdr:from>
      <xdr:col>3</xdr:col>
      <xdr:colOff>590550</xdr:colOff>
      <xdr:row>15</xdr:row>
      <xdr:rowOff>6350</xdr:rowOff>
    </xdr:from>
    <xdr:to>
      <xdr:col>21</xdr:col>
      <xdr:colOff>304800</xdr:colOff>
      <xdr:row>49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6B7BC1C-BE93-16AA-81D0-DDC6A6FADE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206375</xdr:colOff>
      <xdr:row>3</xdr:row>
      <xdr:rowOff>162907</xdr:rowOff>
    </xdr:from>
    <xdr:to>
      <xdr:col>21</xdr:col>
      <xdr:colOff>142875</xdr:colOff>
      <xdr:row>8</xdr:row>
      <xdr:rowOff>238813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18990F-AE2F-4844-9567-4CCA6512F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99025" y="702657"/>
          <a:ext cx="1765300" cy="1774531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0</xdr:colOff>
      <xdr:row>4</xdr:row>
      <xdr:rowOff>133350</xdr:rowOff>
    </xdr:to>
    <xdr:pic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1B8948FA-CA27-40AF-A2DC-C45F8F04E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735925" y="0"/>
          <a:ext cx="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495300</xdr:colOff>
      <xdr:row>2</xdr:row>
      <xdr:rowOff>101601</xdr:rowOff>
    </xdr:from>
    <xdr:to>
      <xdr:col>1</xdr:col>
      <xdr:colOff>876659</xdr:colOff>
      <xdr:row>4</xdr:row>
      <xdr:rowOff>65395</xdr:rowOff>
    </xdr:to>
    <xdr:pic macro="[0]!RefreshAll">
      <xdr:nvPicPr>
        <xdr:cNvPr id="4" name="Graphic 3" descr="Repeat with solid fill">
          <a:extLst>
            <a:ext uri="{FF2B5EF4-FFF2-40B4-BE49-F238E27FC236}">
              <a16:creationId xmlns:a16="http://schemas.microsoft.com/office/drawing/2014/main" id="{FFF1AE4F-D7D0-4D64-B6A7-ABA02BD00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04900" y="457201"/>
          <a:ext cx="396874" cy="389244"/>
        </a:xfrm>
        <a:prstGeom prst="rect">
          <a:avLst/>
        </a:prstGeom>
      </xdr:spPr>
    </xdr:pic>
    <xdr:clientData/>
  </xdr:twoCellAnchor>
  <xdr:twoCellAnchor>
    <xdr:from>
      <xdr:col>4</xdr:col>
      <xdr:colOff>301925</xdr:colOff>
      <xdr:row>16</xdr:row>
      <xdr:rowOff>18213</xdr:rowOff>
    </xdr:from>
    <xdr:to>
      <xdr:col>18</xdr:col>
      <xdr:colOff>587076</xdr:colOff>
      <xdr:row>43</xdr:row>
      <xdr:rowOff>11981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F7FC700-177F-2D2A-EDEF-D339553DA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éspedes, Mauro  Araya" id="{FFA43846-A2DC-4449-B166-4BDF2D3E2542}" userId="S::Mauro.CespedesAraya@wolterskluwer.com::5299b55a-95b6-4c80-a9b2-0f8426368cb1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16.542281018519" createdVersion="8" refreshedVersion="8" minRefreshableVersion="3" recordCount="6" xr:uid="{409E05C6-C9DD-4086-BE86-44A9E538668A}">
  <cacheSource type="worksheet">
    <worksheetSource name="T_MEAS14567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8381112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16.542281134258" createdVersion="8" refreshedVersion="8" minRefreshableVersion="3" recordCount="6" xr:uid="{C06A6D83-D993-4329-AB7E-9088AA36CCD3}">
  <cacheSource type="worksheet">
    <worksheetSource name="T_MEAS14[MEASURES1]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38608050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éspedes Araya, Mauro" refreshedDate="45216.542282523151" missingItemsLimit="0" createdVersion="8" refreshedVersion="8" minRefreshableVersion="3" recordCount="103178" xr:uid="{00000000-000A-0000-FFFF-FFFF89000000}">
  <cacheSource type="worksheet">
    <worksheetSource name="Table2"/>
  </cacheSource>
  <cacheFields count="16">
    <cacheField name="Title" numFmtId="0">
      <sharedItems containsBlank="1" count="27">
        <s v="Anesthesia &amp; Analgesia"/>
        <s v="Circulation"/>
        <s v="Clinical Obstetrics &amp; Gynecology"/>
        <s v="Critical Care Medicine"/>
        <s v="Current Opinion in Nephrology &amp; Hypertension"/>
        <s v="Current Opinion in Oncology"/>
        <s v="Current Opinion in Pulmonary Medicine"/>
        <s v="Journal of Bone and Joint Surgery"/>
        <s v="Obstetrical &amp; Gynecological Survey"/>
        <s v="Obstetrics &amp; Gynecology"/>
        <s v="Pediatric Emergency Care"/>
        <s v="Survey of Anesthesiology"/>
        <s v="Annals of Plastic Surgery"/>
        <s v="Current Opinion in Rheumatology"/>
        <s v="Current Opinion in Gastroenterology"/>
        <s v="Current Opinion in Obstetrics &amp; Gynecology"/>
        <s v="Current Opinion in Cardiology"/>
        <s v="JBJS Open Access"/>
        <s v="Journal of Clinical Oncology"/>
        <s v="New England Journal of Medicine"/>
        <s v="Annals of Surgery"/>
        <s v="Current Opinion in Anaesthesiology"/>
        <s v="Current Opinion in Infectious Diseases"/>
        <s v="JBJS Case Connector"/>
        <s v="Journal of Bronchology &amp; Interventional Pulmonology"/>
        <s v="A&amp;A Practice"/>
        <m/>
      </sharedItems>
    </cacheField>
    <cacheField name="Unique_Item_Requests" numFmtId="0">
      <sharedItems containsString="0" containsBlank="1" containsNumber="1" containsInteger="1" minValue="1" maxValue="18"/>
    </cacheField>
    <cacheField name="Total_Item_Requests" numFmtId="0">
      <sharedItems containsString="0" containsBlank="1" containsNumber="1" containsInteger="1" minValue="1" maxValue="26"/>
    </cacheField>
    <cacheField name="Total_Item_Investigations" numFmtId="0">
      <sharedItems containsString="0" containsBlank="1" containsNumber="1" containsInteger="1" minValue="1" maxValue="31"/>
    </cacheField>
    <cacheField name="Unique_Item_Investigations" numFmtId="0">
      <sharedItems containsString="0" containsBlank="1" containsNumber="1" containsInteger="1" minValue="1" maxValue="21"/>
    </cacheField>
    <cacheField name="Sessions" numFmtId="0">
      <sharedItems containsString="0" containsBlank="1" containsNumber="1" containsInteger="1" minValue="1" maxValue="16"/>
    </cacheField>
    <cacheField name="Platform" numFmtId="0">
      <sharedItems containsBlank="1"/>
    </cacheField>
    <cacheField name="Subject" numFmtId="0">
      <sharedItems containsBlank="1"/>
    </cacheField>
    <cacheField name="OrderDescription" numFmtId="0">
      <sharedItems containsBlank="1"/>
    </cacheField>
    <cacheField name="OrderNumber" numFmtId="0">
      <sharedItems containsString="0" containsBlank="1" containsNumber="1" containsInteger="1" minValue="577287" maxValue="1366011"/>
    </cacheField>
    <cacheField name="UsedByCustomer" numFmtId="0">
      <sharedItems containsBlank="1"/>
    </cacheField>
    <cacheField name="Group" numFmtId="0">
      <sharedItems containsBlank="1"/>
    </cacheField>
    <cacheField name="User" numFmtId="0">
      <sharedItems containsBlank="1"/>
    </cacheField>
    <cacheField name="Month" numFmtId="0">
      <sharedItems containsString="0" containsBlank="1" containsNumber="1" containsInteger="1" minValue="1" maxValue="10"/>
    </cacheField>
    <cacheField name="Year" numFmtId="0">
      <sharedItems containsString="0" containsBlank="1" containsNumber="1" containsInteger="1" minValue="2023" maxValue="2023" count="2">
        <n v="2023"/>
        <m/>
      </sharedItems>
    </cacheField>
    <cacheField name="Month-Year" numFmtId="17">
      <sharedItems containsNonDate="0" containsDate="1" containsString="0" containsBlank="1" minDate="2023-01-01T00:00:00" maxDate="2023-10-02T00:00:00" count="11"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m/>
      </sharedItems>
    </cacheField>
  </cacheFields>
  <extLst>
    <ext xmlns:x14="http://schemas.microsoft.com/office/spreadsheetml/2009/9/main" uri="{725AE2AE-9491-48be-B2B4-4EB974FC3084}">
      <x14:pivotCacheDefinition pivotCacheId="53312435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16.542287384262" createdVersion="8" refreshedVersion="8" minRefreshableVersion="3" recordCount="6" xr:uid="{65CB59FB-022E-4B38-996D-F5FB02343BDD}">
  <cacheSource type="worksheet">
    <worksheetSource name="T_MEAS1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89190224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16.542287615739" createdVersion="8" refreshedVersion="8" minRefreshableVersion="3" recordCount="6" xr:uid="{21E1647F-3EDB-4408-8969-5A215524571B}">
  <cacheSource type="worksheet">
    <worksheetSource name="T_MEAS145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551739749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éspedes Araya, Mauro" refreshedDate="45216.542287731485" createdVersion="8" refreshedVersion="8" minRefreshableVersion="3" recordCount="6" xr:uid="{54311D6B-874B-4869-BCAC-E76126BCC523}">
  <cacheSource type="worksheet">
    <worksheetSource name="T_MEAS1456"/>
  </cacheSource>
  <cacheFields count="1">
    <cacheField name="MEASURES1" numFmtId="0">
      <sharedItems count="6">
        <s v="Sessions"/>
        <s v="Total_Item_Requests"/>
        <s v="Unique_Item_Requests"/>
        <s v="Total_Item_Investigations"/>
        <s v="Unique_Item_Investigations"/>
        <s v="User"/>
      </sharedItems>
    </cacheField>
  </cacheFields>
  <extLst>
    <ext xmlns:x14="http://schemas.microsoft.com/office/spreadsheetml/2009/9/main" uri="{725AE2AE-9491-48be-B2B4-4EB974FC3084}">
      <x14:pivotCacheDefinition pivotCacheId="1272377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</r>
  <r>
    <x v="1"/>
  </r>
  <r>
    <x v="2"/>
  </r>
  <r>
    <x v="3"/>
  </r>
  <r>
    <x v="4"/>
  </r>
  <r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F24:L52" firstHeaderRow="1" firstDataRow="2" firstDataCol="1" rowPageCount="2" colPageCount="1"/>
  <pivotFields count="16">
    <pivotField axis="axisRow" showAll="0">
      <items count="28">
        <item x="0"/>
        <item x="1"/>
        <item x="3"/>
        <item x="7"/>
        <item x="20"/>
        <item x="9"/>
        <item x="2"/>
        <item x="12"/>
        <item x="17"/>
        <item x="26"/>
        <item x="13"/>
        <item x="23"/>
        <item x="6"/>
        <item x="10"/>
        <item x="15"/>
        <item x="22"/>
        <item x="4"/>
        <item x="5"/>
        <item x="8"/>
        <item x="11"/>
        <item x="14"/>
        <item x="16"/>
        <item x="18"/>
        <item x="19"/>
        <item x="21"/>
        <item x="24"/>
        <item x="2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3">
        <item x="1"/>
        <item x="0"/>
        <item t="default"/>
      </items>
    </pivotField>
    <pivotField axis="axisPage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4" hier="-1"/>
    <pageField fld="15" hier="-1"/>
  </pageFields>
  <dataFields count="6">
    <dataField name=" Sessions" fld="5" baseField="0" baseItem="0"/>
    <dataField name=" Total_Item_Requests" fld="2" subtotal="count" baseField="0" baseItem="0"/>
    <dataField name=" Unique_Item_Requests" fld="1" baseField="0" baseItem="0"/>
    <dataField name=" Total_Item_Investigations" fld="3" baseField="0" baseItem="0"/>
    <dataField name=" Unique_Item_Investigations" fld="4" baseField="0" baseItem="0"/>
    <dataField name=" User" fld="12" subtotal="count" baseField="0" baseItem="0"/>
  </dataFields>
  <formats count="21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grandRow="1" outline="0" fieldPosition="0"/>
    </format>
    <format dxfId="5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type="origin" dataOnly="0" labelOnly="1" outline="0" fieldPosition="0"/>
    </format>
    <format dxfId="50">
      <pivotArea field="-2" type="button" dataOnly="0" labelOnly="1" outline="0" axis="axisCol" fieldPosition="0"/>
    </format>
    <format dxfId="49">
      <pivotArea type="topRight" dataOnly="0" labelOnly="1" outline="0" fieldPosition="0"/>
    </format>
    <format dxfId="48">
      <pivotArea field="0" type="button" dataOnly="0" labelOnly="1" outline="0" axis="axisRow" fieldPosition="0"/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type="origin" dataOnly="0" labelOnly="1" outline="0" fieldPosition="0"/>
    </format>
    <format dxfId="42">
      <pivotArea field="-2" type="button" dataOnly="0" labelOnly="1" outline="0" axis="axisCol" fieldPosition="0"/>
    </format>
    <format dxfId="41">
      <pivotArea type="topRight" dataOnly="0" labelOnly="1" outline="0" fieldPosition="0"/>
    </format>
    <format dxfId="40">
      <pivotArea field="0" type="button" dataOnly="0" labelOnly="1" outline="0" axis="axisRow" fieldPosition="0"/>
    </format>
    <format dxfId="39">
      <pivotArea dataOnly="0" labelOnly="1" grandRow="1" outline="0" fieldPosition="0"/>
    </format>
    <format dxfId="3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5" type="dateBetween" evalOrder="-1" id="4" name="Month-Year">
      <autoFilter ref="A1">
        <filterColumn colId="0">
          <customFilters and="1">
            <customFilter operator="greaterThanOrEqual" val="44927"/>
            <customFilter operator="lessThanOrEqual" val="4504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2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T24:Z28" firstHeaderRow="1" firstDataRow="2" firstDataCol="1" rowPageCount="2" colPageCount="1"/>
  <pivotFields count="16">
    <pivotField axis="axisPage" showAll="0">
      <items count="28">
        <item x="0"/>
        <item x="1"/>
        <item x="3"/>
        <item x="7"/>
        <item x="20"/>
        <item x="9"/>
        <item x="2"/>
        <item x="12"/>
        <item x="17"/>
        <item x="26"/>
        <item x="13"/>
        <item x="23"/>
        <item x="6"/>
        <item x="10"/>
        <item x="15"/>
        <item x="22"/>
        <item x="4"/>
        <item x="5"/>
        <item x="8"/>
        <item x="11"/>
        <item x="14"/>
        <item x="16"/>
        <item x="18"/>
        <item x="19"/>
        <item x="21"/>
        <item x="24"/>
        <item x="2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Page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5" hier="-1"/>
    <pageField fld="0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1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5" type="button" dataOnly="0" labelOnly="1" outline="0" axis="axisPage" fieldPosition="0"/>
    </format>
    <format dxfId="76">
      <pivotArea dataOnly="0" labelOnly="1" fieldPosition="0">
        <references count="1">
          <reference field="15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5" type="button" dataOnly="0" labelOnly="1" outline="0" axis="axisPage" fieldPosition="0"/>
    </format>
    <format dxfId="70">
      <pivotArea dataOnly="0" labelOnly="1" fieldPosition="0">
        <references count="1">
          <reference field="15" count="0"/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field="-2" type="button" dataOnly="0" labelOnly="1" outline="0" axis="axisCol" fieldPosition="0"/>
    </format>
    <format dxfId="63">
      <pivotArea type="topRight" dataOnly="0" labelOnly="1" outline="0" fieldPosition="0"/>
    </format>
    <format dxfId="62">
      <pivotArea field="14" type="button" dataOnly="0" labelOnly="1" outline="0" axis="axisRow" fieldPosition="0"/>
    </format>
    <format dxfId="61">
      <pivotArea dataOnly="0" labelOnly="1" fieldPosition="0">
        <references count="1">
          <reference field="14" count="0"/>
        </references>
      </pivotArea>
    </format>
    <format dxfId="60">
      <pivotArea dataOnly="0" labelOnly="1" grandRow="1" outline="0" fieldPosition="0"/>
    </format>
    <format dxfId="5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5" type="dateBetween" evalOrder="-1" id="14" name="Month-Year">
      <autoFilter ref="A1">
        <filterColumn colId="0">
          <customFilters and="1">
            <customFilter operator="greaterThanOrEqual" val="44197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80BFD-D945-4AA2-875C-A710FA58EF7C}" name="PivotTable2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V1:AV3" firstHeaderRow="1" firstDataRow="1" firstDataCol="1"/>
  <pivotFields count="1">
    <pivotField axis="axisRow" showAll="0">
      <items count="7">
        <item h="1" x="0"/>
        <item h="1" x="3"/>
        <item x="1"/>
        <item h="1" x="4"/>
        <item h="1" x="2"/>
        <item h="1" x="5"/>
        <item t="default"/>
      </items>
    </pivotField>
  </pivotFields>
  <rowFields count="1">
    <field x="0"/>
  </rowFields>
  <rowItems count="2"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DD9FD-E168-48AC-A1A7-5F012CABEFC6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N4:BN6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5CEA38-29B5-45BF-AA7C-417EB31F2EFF}" name="PivotTable1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1:AE3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formats count="4">
    <format dxfId="83">
      <pivotArea type="all" dataOnly="0" outline="0" fieldPosition="0"/>
    </format>
    <format dxfId="82">
      <pivotArea field="0" type="button" dataOnly="0" labelOnly="1" outline="0" axis="axisRow" fieldPosition="0"/>
    </format>
    <format dxfId="81">
      <pivotArea dataOnly="0" labelOnly="1" fieldPosition="0">
        <references count="1">
          <reference field="0" count="0"/>
        </references>
      </pivotArea>
    </format>
    <format dxfId="8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9799F5-FAAF-4B46-9F38-F81E4035DC3C}" name="PivotTable8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2">
  <location ref="AJ24:AP29" firstHeaderRow="1" firstDataRow="2" firstDataCol="1" rowPageCount="2" colPageCount="1"/>
  <pivotFields count="16">
    <pivotField axis="axisPage" showAll="0">
      <items count="28">
        <item x="0"/>
        <item x="1"/>
        <item x="3"/>
        <item x="7"/>
        <item x="20"/>
        <item x="9"/>
        <item x="2"/>
        <item x="12"/>
        <item x="17"/>
        <item x="26"/>
        <item x="13"/>
        <item x="23"/>
        <item x="6"/>
        <item x="10"/>
        <item x="15"/>
        <item x="22"/>
        <item x="4"/>
        <item x="5"/>
        <item x="8"/>
        <item x="11"/>
        <item x="14"/>
        <item x="16"/>
        <item x="18"/>
        <item x="19"/>
        <item x="21"/>
        <item x="24"/>
        <item x="2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axis="axisRow" multipleItemSelectionAllowed="1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5"/>
  </rowFields>
  <rowItems count="4">
    <i>
      <x v="1"/>
    </i>
    <i>
      <x v="2"/>
    </i>
    <i>
      <x v="3"/>
    </i>
    <i>
      <x v="4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0" hier="-1"/>
    <pageField fld="14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3"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15" type="button" dataOnly="0" labelOnly="1" outline="0" axis="axisRow" fieldPosition="0"/>
    </format>
    <format dxfId="103">
      <pivotArea dataOnly="0" labelOnly="1" fieldPosition="0">
        <references count="1">
          <reference field="15" count="0"/>
        </references>
      </pivotArea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5" type="button" dataOnly="0" labelOnly="1" outline="0" axis="axisRow" fieldPosition="0"/>
    </format>
    <format dxfId="97">
      <pivotArea dataOnly="0" labelOnly="1" fieldPosition="0">
        <references count="1">
          <reference field="15" count="0"/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type="origin" dataOnly="0" labelOnly="1" outline="0" fieldPosition="0"/>
    </format>
    <format dxfId="91">
      <pivotArea field="-2" type="button" dataOnly="0" labelOnly="1" outline="0" axis="axisCol" fieldPosition="0"/>
    </format>
    <format dxfId="90">
      <pivotArea type="topRight" dataOnly="0" labelOnly="1" outline="0" fieldPosition="0"/>
    </format>
    <format dxfId="89">
      <pivotArea field="14" type="button" dataOnly="0" labelOnly="1" outline="0" axis="axisPage" fieldPosition="1"/>
    </format>
    <format dxfId="88">
      <pivotArea dataOnly="0" labelOnly="1" fieldPosition="0">
        <references count="1">
          <reference field="14" count="0"/>
        </references>
      </pivotArea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5">
      <pivotArea dataOnly="0" labelOnly="1" fieldPosition="0">
        <references count="1">
          <reference field="15" count="0"/>
        </references>
      </pivotArea>
    </format>
    <format dxfId="84">
      <pivotArea dataOnly="0" labelOnly="1" grandRow="1" outline="0" fieldPosition="0"/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5" type="dateBetween" evalOrder="-1" id="104" name="Month-Year">
      <autoFilter ref="A1">
        <filterColumn colId="0">
          <customFilters and="1">
            <customFilter operator="greaterThanOrEqual" val="44927"/>
            <customFilter operator="lessThanOrEqual" val="4504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168B08-87FB-4F78-A84D-A917DC13735B}" name="PivotTable9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4:O6" firstHeaderRow="1" firstDataRow="1" firstDataCol="1"/>
  <pivotFields count="1">
    <pivotField axis="axisRow" showAll="0">
      <items count="7">
        <item h="1" x="0"/>
        <item h="1" x="3"/>
        <item h="1" x="1"/>
        <item h="1" x="4"/>
        <item h="1" x="2"/>
        <item x="5"/>
        <item t="default"/>
      </items>
    </pivotField>
  </pivotFields>
  <rowFields count="1">
    <field x="0"/>
  </rowFields>
  <rowItems count="2">
    <i>
      <x v="5"/>
    </i>
    <i t="grand">
      <x/>
    </i>
  </rowItems>
  <colItems count="1">
    <i/>
  </colItems>
  <formats count="4">
    <format dxfId="110">
      <pivotArea type="all" dataOnly="0" outline="0" fieldPosition="0"/>
    </format>
    <format dxfId="109">
      <pivotArea field="0" type="button" dataOnly="0" labelOnly="1" outline="0" axis="axisRow" fieldPosition="0"/>
    </format>
    <format dxfId="108">
      <pivotArea dataOnly="0" labelOnly="1" fieldPosition="0">
        <references count="1">
          <reference field="0" count="0"/>
        </references>
      </pivotArea>
    </format>
    <format dxfId="10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C596AA-58AB-47F1-9CDA-E05E435BC457}" name="PivotTable7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A3" firstHeaderRow="1" firstDataRow="1" firstDataCol="1"/>
  <pivotFields count="1">
    <pivotField axis="axisRow" showAll="0">
      <items count="7">
        <item h="1" x="0"/>
        <item h="1" x="3"/>
        <item h="1" x="1"/>
        <item h="1" x="4"/>
        <item x="2"/>
        <item h="1" x="5"/>
        <item t="default"/>
      </items>
    </pivotField>
  </pivotFields>
  <rowFields count="1">
    <field x="0"/>
  </rowFields>
  <rowItems count="2">
    <i>
      <x v="4"/>
    </i>
    <i t="grand">
      <x/>
    </i>
  </rowItems>
  <colItems count="1">
    <i/>
  </colItems>
  <formats count="4">
    <format dxfId="114">
      <pivotArea type="all" dataOnly="0" outline="0" fieldPosition="0"/>
    </format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A1E52-25B1-42B0-A089-9DE4EA775169}" name="PivotTable16" cacheId="2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>
  <location ref="BS24:BY27" firstHeaderRow="1" firstDataRow="2" firstDataCol="1" rowPageCount="2" colPageCount="1"/>
  <pivotFields count="16">
    <pivotField axis="axisPage" showAll="0">
      <items count="28">
        <item x="0"/>
        <item x="1"/>
        <item x="3"/>
        <item x="7"/>
        <item x="20"/>
        <item x="9"/>
        <item x="2"/>
        <item x="12"/>
        <item x="17"/>
        <item x="26"/>
        <item x="13"/>
        <item x="23"/>
        <item x="6"/>
        <item x="10"/>
        <item x="15"/>
        <item x="22"/>
        <item x="4"/>
        <item x="5"/>
        <item x="8"/>
        <item x="11"/>
        <item x="14"/>
        <item x="16"/>
        <item x="18"/>
        <item x="19"/>
        <item x="21"/>
        <item x="24"/>
        <item x="2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Page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4"/>
  </rowFields>
  <rowItems count="2">
    <i>
      <x/>
    </i>
    <i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5" hier="-1"/>
    <pageField fld="0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1"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15" type="button" dataOnly="0" labelOnly="1" outline="0" axis="axisPage" fieldPosition="0"/>
    </format>
    <format dxfId="132">
      <pivotArea dataOnly="0" labelOnly="1" fieldPosition="0">
        <references count="1">
          <reference field="15" count="0"/>
        </references>
      </pivotArea>
    </format>
    <format dxfId="131">
      <pivotArea dataOnly="0" labelOnly="1" grandRow="1" outline="0" fieldPosition="0"/>
    </format>
    <format dxfId="13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15" type="button" dataOnly="0" labelOnly="1" outline="0" axis="axisPage" fieldPosition="0"/>
    </format>
    <format dxfId="126">
      <pivotArea dataOnly="0" labelOnly="1" fieldPosition="0">
        <references count="1">
          <reference field="15" count="0"/>
        </references>
      </pivotArea>
    </format>
    <format dxfId="125">
      <pivotArea dataOnly="0" labelOnly="1" grandRow="1" outline="0" fieldPosition="0"/>
    </format>
    <format dxfId="12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type="origin" dataOnly="0" labelOnly="1" outline="0" fieldPosition="0"/>
    </format>
    <format dxfId="120">
      <pivotArea field="-2" type="button" dataOnly="0" labelOnly="1" outline="0" axis="axisCol" fieldPosition="0"/>
    </format>
    <format dxfId="119">
      <pivotArea type="topRight" dataOnly="0" labelOnly="1" outline="0" fieldPosition="0"/>
    </format>
    <format dxfId="118">
      <pivotArea field="14" type="button" dataOnly="0" labelOnly="1" outline="0" axis="axisRow" fieldPosition="0"/>
    </format>
    <format dxfId="117">
      <pivotArea dataOnly="0" labelOnly="1" fieldPosition="0">
        <references count="1">
          <reference field="14" count="0"/>
        </references>
      </pivotArea>
    </format>
    <format dxfId="116">
      <pivotArea dataOnly="0" labelOnly="1" grandRow="1" outline="0" fieldPosition="0"/>
    </format>
    <format dxfId="11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5" type="dateBetween" evalOrder="-1" id="33" name="Month-Year">
      <autoFilter ref="A1">
        <filterColumn colId="0">
          <customFilters and="1">
            <customFilter operator="greaterThanOrEqual" val="44927"/>
            <customFilter operator="lessThanOrEqual" val="4529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7A8244-E29C-492E-958D-C9AEB84217F2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A24:BG28" firstHeaderRow="1" firstDataRow="2" firstDataCol="1" rowPageCount="2" colPageCount="1"/>
  <pivotFields count="16">
    <pivotField axis="axisPage" showAll="0">
      <items count="28">
        <item x="0"/>
        <item x="1"/>
        <item x="3"/>
        <item x="7"/>
        <item x="20"/>
        <item x="9"/>
        <item x="2"/>
        <item x="12"/>
        <item x="17"/>
        <item x="26"/>
        <item x="13"/>
        <item x="23"/>
        <item x="6"/>
        <item x="10"/>
        <item x="15"/>
        <item x="22"/>
        <item x="4"/>
        <item x="5"/>
        <item x="8"/>
        <item x="11"/>
        <item x="14"/>
        <item x="16"/>
        <item x="18"/>
        <item x="19"/>
        <item x="21"/>
        <item x="24"/>
        <item x="2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axis="axisPage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2">
    <pageField fld="15" hier="-1"/>
    <pageField fld="0" hier="-1"/>
  </pageFields>
  <dataFields count="6">
    <dataField name=" Sessions" fld="5" baseField="0" baseItem="0"/>
    <dataField name=" Total_Item_Requests" fld="2" baseField="0" baseItem="0"/>
    <dataField name=" Total_Item_Investigations" fld="3" baseField="0" baseItem="0"/>
    <dataField name=" Unique_Item_Investigations" fld="4" baseField="0" baseItem="0"/>
    <dataField name=" Unique_Item_Requests" fld="1" baseField="0" baseItem="0"/>
    <dataField name=" UsedByCustomer" fld="10" subtotal="count" baseField="0" baseItem="0"/>
  </dataFields>
  <formats count="21">
    <format dxfId="156">
      <pivotArea type="all" dataOnly="0" outline="0" fieldPosition="0"/>
    </format>
    <format dxfId="155">
      <pivotArea outline="0" collapsedLevelsAreSubtotals="1" fieldPosition="0"/>
    </format>
    <format dxfId="154">
      <pivotArea field="15" type="button" dataOnly="0" labelOnly="1" outline="0" axis="axisPage" fieldPosition="0"/>
    </format>
    <format dxfId="153">
      <pivotArea dataOnly="0" labelOnly="1" fieldPosition="0">
        <references count="1">
          <reference field="15" count="0"/>
        </references>
      </pivotArea>
    </format>
    <format dxfId="152">
      <pivotArea dataOnly="0" labelOnly="1" grandRow="1" outline="0" fieldPosition="0"/>
    </format>
    <format dxfId="15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field="15" type="button" dataOnly="0" labelOnly="1" outline="0" axis="axisPage" fieldPosition="0"/>
    </format>
    <format dxfId="147">
      <pivotArea dataOnly="0" labelOnly="1" fieldPosition="0">
        <references count="1">
          <reference field="15" count="0"/>
        </references>
      </pivotArea>
    </format>
    <format dxfId="146">
      <pivotArea dataOnly="0" labelOnly="1" grandRow="1" outline="0" fieldPosition="0"/>
    </format>
    <format dxfId="14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type="origin" dataOnly="0" labelOnly="1" outline="0" fieldPosition="0"/>
    </format>
    <format dxfId="141">
      <pivotArea field="-2" type="button" dataOnly="0" labelOnly="1" outline="0" axis="axisCol" fieldPosition="0"/>
    </format>
    <format dxfId="140">
      <pivotArea type="topRight" dataOnly="0" labelOnly="1" outline="0" fieldPosition="0"/>
    </format>
    <format dxfId="139">
      <pivotArea field="14" type="button" dataOnly="0" labelOnly="1" outline="0" axis="axisRow" fieldPosition="0"/>
    </format>
    <format dxfId="138">
      <pivotArea dataOnly="0" labelOnly="1" fieldPosition="0">
        <references count="1">
          <reference field="14" count="0"/>
        </references>
      </pivotArea>
    </format>
    <format dxfId="137">
      <pivotArea dataOnly="0" labelOnly="1" grandRow="1" outline="0" fieldPosition="0"/>
    </format>
    <format dxfId="13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B71A59-A6EA-4D17-8CBB-E9B1B4E43EF6}" name="PivotTable1" cacheId="2" applyNumberFormats="0" applyBorderFormats="0" applyFontFormats="0" applyPatternFormats="0" applyAlignmentFormats="0" applyWidthHeightFormats="1" dataCaption="Values" updatedVersion="8" minRefreshableVersion="3" enableDrill="0" useAutoFormatting="1" itemPrintTitles="1" createdVersion="8" indent="0" outline="1" outlineData="1" multipleFieldFilters="0" chartFormat="3" rowHeaderCaption="Resource">
  <location ref="B19:C47" firstHeaderRow="1" firstDataRow="1" firstDataCol="1" rowPageCount="2" colPageCount="1"/>
  <pivotFields count="16">
    <pivotField axis="axisRow" showAll="0" sortType="descending">
      <items count="28">
        <item x="0"/>
        <item x="12"/>
        <item x="20"/>
        <item x="1"/>
        <item x="2"/>
        <item x="3"/>
        <item x="17"/>
        <item x="7"/>
        <item x="9"/>
        <item x="26"/>
        <item x="13"/>
        <item x="23"/>
        <item x="6"/>
        <item x="10"/>
        <item x="15"/>
        <item x="22"/>
        <item x="4"/>
        <item x="5"/>
        <item x="8"/>
        <item x="11"/>
        <item x="14"/>
        <item x="16"/>
        <item x="18"/>
        <item x="19"/>
        <item x="21"/>
        <item x="24"/>
        <item x="2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axis="axisPage" multipleItemSelectionAllowed="1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0"/>
  </rowFields>
  <rowItems count="28">
    <i>
      <x v="5"/>
    </i>
    <i>
      <x v="3"/>
    </i>
    <i>
      <x/>
    </i>
    <i>
      <x v="8"/>
    </i>
    <i>
      <x v="7"/>
    </i>
    <i>
      <x v="16"/>
    </i>
    <i>
      <x v="23"/>
    </i>
    <i>
      <x v="2"/>
    </i>
    <i>
      <x v="12"/>
    </i>
    <i>
      <x v="24"/>
    </i>
    <i>
      <x v="20"/>
    </i>
    <i>
      <x v="4"/>
    </i>
    <i>
      <x v="15"/>
    </i>
    <i>
      <x v="19"/>
    </i>
    <i>
      <x v="21"/>
    </i>
    <i>
      <x v="22"/>
    </i>
    <i>
      <x v="10"/>
    </i>
    <i>
      <x v="18"/>
    </i>
    <i>
      <x v="26"/>
    </i>
    <i>
      <x v="14"/>
    </i>
    <i>
      <x v="11"/>
    </i>
    <i>
      <x v="17"/>
    </i>
    <i>
      <x v="25"/>
    </i>
    <i>
      <x v="1"/>
    </i>
    <i>
      <x v="6"/>
    </i>
    <i>
      <x v="13"/>
    </i>
    <i>
      <x v="9"/>
    </i>
    <i t="grand">
      <x/>
    </i>
  </rowItems>
  <colItems count="1">
    <i/>
  </colItems>
  <pageFields count="2">
    <pageField fld="15" hier="-1"/>
    <pageField fld="14" hier="-1"/>
  </pageFields>
  <dataFields count="1">
    <dataField name=" Total_Item_Requests" fld="2" baseField="0" baseItem="0"/>
  </dataField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3">
            <x v="0"/>
            <x v="1"/>
            <x v="2"/>
          </reference>
        </references>
      </pivotArea>
    </format>
    <format dxfId="13">
      <pivotArea dataOnly="0" labelOnly="1" fieldPosition="0">
        <references count="1">
          <reference field="0" count="2">
            <x v="3"/>
            <x v="4"/>
          </reference>
        </references>
      </pivotArea>
    </format>
    <format dxfId="12">
      <pivotArea dataOnly="0" labelOnly="1" fieldPosition="0">
        <references count="1">
          <reference field="0" count="1">
            <x v="5"/>
          </reference>
        </references>
      </pivotArea>
    </format>
    <format dxfId="11">
      <pivotArea dataOnly="0" labelOnly="1" fieldPosition="0">
        <references count="1">
          <reference field="0" count="2">
            <x v="6"/>
            <x v="7"/>
          </reference>
        </references>
      </pivotArea>
    </format>
    <format dxfId="10">
      <pivotArea dataOnly="0" labelOnly="1" fieldPosition="0">
        <references count="1">
          <reference field="0" count="1">
            <x v="8"/>
          </reference>
        </references>
      </pivotArea>
    </format>
    <format dxfId="9">
      <pivotArea dataOnly="0" labelOnly="1" grandRow="1" outline="0" fieldPosition="0"/>
    </format>
    <format dxfId="8">
      <pivotArea field="0" type="button" dataOnly="0" labelOnly="1" outline="0" axis="axisRow" fieldPosition="0"/>
    </format>
    <format dxfId="7">
      <pivotArea field="0" type="button" dataOnly="0" labelOnly="1" outline="0" axis="axisRow" fieldPosition="0"/>
    </format>
    <format dxfId="6">
      <pivotArea field="15" type="button" dataOnly="0" labelOnly="1" outline="0" axis="axisPage" fieldPosition="0"/>
    </format>
    <format dxfId="5">
      <pivotArea field="14" type="button" dataOnly="0" labelOnly="1" outline="0" axis="axisPage" fieldPosition="1"/>
    </format>
    <format dxfId="4">
      <pivotArea field="0" type="button" dataOnly="0" labelOnly="1" outline="0" axis="axisRow" fieldPosition="0"/>
    </format>
    <format dxfId="3">
      <pivotArea field="0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outline="0" axis="axisValues" fieldPosition="0"/>
    </format>
    <format dxfId="0">
      <pivotArea dataOnly="0" labelOnly="1" outline="0" fieldPosition="0">
        <references count="1">
          <reference field="15" count="0"/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129E0-DC5A-4066-9597-90B0DB32388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">
  <location ref="B17:C29" firstHeaderRow="1" firstDataRow="1" firstDataCol="1"/>
  <pivotFields count="16"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17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</pivotFields>
  <rowFields count="1">
    <field x="1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 Total_Item_Requests" fld="2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P103179" totalsRowShown="0" headerRowDxfId="160" headerRowBorderDxfId="159" tableBorderDxfId="158">
  <autoFilter ref="A1:P103179" xr:uid="{00000000-0009-0000-0100-000001000000}"/>
  <tableColumns count="16">
    <tableColumn id="1" xr3:uid="{00000000-0010-0000-0000-000001000000}" name="Title"/>
    <tableColumn id="2" xr3:uid="{00000000-0010-0000-0000-000002000000}" name="Unique_Item_Requests"/>
    <tableColumn id="3" xr3:uid="{00000000-0010-0000-0000-000003000000}" name="Total_Item_Requests"/>
    <tableColumn id="4" xr3:uid="{00000000-0010-0000-0000-000004000000}" name="Total_Item_Investigations"/>
    <tableColumn id="5" xr3:uid="{00000000-0010-0000-0000-000005000000}" name="Unique_Item_Investigations"/>
    <tableColumn id="6" xr3:uid="{00000000-0010-0000-0000-000006000000}" name="Sessions"/>
    <tableColumn id="7" xr3:uid="{00000000-0010-0000-0000-000007000000}" name="Platform"/>
    <tableColumn id="8" xr3:uid="{00000000-0010-0000-0000-000008000000}" name="Subject"/>
    <tableColumn id="9" xr3:uid="{00000000-0010-0000-0000-000009000000}" name="OrderDescription"/>
    <tableColumn id="10" xr3:uid="{00000000-0010-0000-0000-00000A000000}" name="OrderNumber"/>
    <tableColumn id="11" xr3:uid="{00000000-0010-0000-0000-00000B000000}" name="UsedByCustomer"/>
    <tableColumn id="12" xr3:uid="{00000000-0010-0000-0000-00000C000000}" name="Group"/>
    <tableColumn id="13" xr3:uid="{00000000-0010-0000-0000-00000D000000}" name="User"/>
    <tableColumn id="14" xr3:uid="{00000000-0010-0000-0000-00000E000000}" name="Month"/>
    <tableColumn id="15" xr3:uid="{00000000-0010-0000-0000-00000F000000}" name="Year"/>
    <tableColumn id="16" xr3:uid="{00000000-0010-0000-0000-000010000000}" name="Month-Year" dataDxfId="15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_MEAS1" displayName="T_MEAS1" ref="A21:A27" totalsRowShown="0" headerRowDxfId="37" dataDxfId="36" tableBorderDxfId="35">
  <autoFilter ref="A21:A27" xr:uid="{00000000-0009-0000-0100-000002000000}"/>
  <tableColumns count="1">
    <tableColumn id="1" xr3:uid="{00000000-0010-0000-0100-000001000000}" name="MEASURES1" dataDxfId="3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EB9948-F5D2-45AD-83EC-E348C8FEF2C0}" name="T_MEAS14" displayName="T_MEAS14" ref="O24:O30" totalsRowShown="0" headerRowDxfId="33" dataDxfId="32" tableBorderDxfId="31">
  <autoFilter ref="O24:O30" xr:uid="{E0EB9948-F5D2-45AD-83EC-E348C8FEF2C0}"/>
  <tableColumns count="1">
    <tableColumn id="1" xr3:uid="{0B1E43CC-13D9-4D71-BA2F-B979D2271831}" name="MEASURES1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B1A341-000E-4189-8960-342EE7A8C081}" name="T_MEAS145" displayName="T_MEAS145" ref="AE24:AE30" totalsRowShown="0" headerRowDxfId="29" dataDxfId="28" tableBorderDxfId="27">
  <autoFilter ref="AE24:AE30" xr:uid="{ECB1A341-000E-4189-8960-342EE7A8C081}"/>
  <tableColumns count="1">
    <tableColumn id="1" xr3:uid="{211BBEBD-F1DD-4BB4-A44A-3559EA849E07}" name="MEASURES1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C00A476-0743-4445-9C06-F39DF71A0003}" name="T_MEAS1456" displayName="T_MEAS1456" ref="AV24:AV30" totalsRowShown="0" headerRowDxfId="25" dataDxfId="24" tableBorderDxfId="23">
  <autoFilter ref="AV24:AV30" xr:uid="{7C00A476-0743-4445-9C06-F39DF71A0003}"/>
  <tableColumns count="1">
    <tableColumn id="1" xr3:uid="{1AE79D05-D42B-4EE6-95D0-E31593F34F4C}" name="MEASURES1" dataDxfId="2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D97BDAD-5AA9-4F35-A171-2F1784E89B74}" name="T_MEAS14567" displayName="T_MEAS14567" ref="BN24:BN30" totalsRowShown="0" headerRowDxfId="21" dataDxfId="20" tableBorderDxfId="19">
  <autoFilter ref="BN24:BN30" xr:uid="{5D97BDAD-5AA9-4F35-A171-2F1784E89B74}"/>
  <tableColumns count="1">
    <tableColumn id="1" xr3:uid="{ABCCAB07-0825-4869-8D9C-84E88F912DA2}" name="MEASURES1" dataDxfId="1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5-31T14:41:12.59" personId="{FFA43846-A2DC-4449-B166-4BDF2D3E2542}" id="{9250D8FB-458F-49F4-BD59-87462EBC7AB4}">
    <text>Total Item Requests is the numbers of accesses to the FULL TEXT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6" Type="http://schemas.openxmlformats.org/officeDocument/2006/relationships/table" Target="../tables/table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5" Type="http://schemas.openxmlformats.org/officeDocument/2006/relationships/table" Target="../tables/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493"/>
  <sheetViews>
    <sheetView topLeftCell="E1" workbookViewId="0">
      <selection activeCell="P1" sqref="P1"/>
    </sheetView>
  </sheetViews>
  <sheetFormatPr defaultRowHeight="14.5" x14ac:dyDescent="0.35"/>
  <cols>
    <col min="1" max="1" width="23.08984375" customWidth="1"/>
    <col min="2" max="2" width="22.81640625" customWidth="1"/>
    <col min="3" max="3" width="20.7265625" customWidth="1"/>
    <col min="4" max="4" width="24.81640625" customWidth="1"/>
    <col min="5" max="5" width="26.90625" customWidth="1"/>
    <col min="6" max="6" width="10.08984375" customWidth="1"/>
    <col min="7" max="7" width="10.26953125" customWidth="1"/>
    <col min="8" max="8" width="9.1796875" customWidth="1"/>
    <col min="9" max="9" width="17.453125" customWidth="1"/>
    <col min="10" max="10" width="14.7265625" customWidth="1"/>
    <col min="11" max="11" width="17.453125" customWidth="1"/>
    <col min="16" max="16" width="13.08984375" style="57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95" t="s">
        <v>15</v>
      </c>
    </row>
    <row r="2" spans="1:16" ht="17" customHeight="1" x14ac:dyDescent="0.35">
      <c r="A2" s="2" t="s">
        <v>73</v>
      </c>
      <c r="B2" s="2">
        <v>1</v>
      </c>
      <c r="C2" s="2">
        <v>1</v>
      </c>
      <c r="D2" s="2">
        <v>1</v>
      </c>
      <c r="E2" s="2">
        <v>1</v>
      </c>
      <c r="F2" s="2">
        <v>1</v>
      </c>
      <c r="G2" s="2" t="s">
        <v>42</v>
      </c>
      <c r="H2" s="2" t="s">
        <v>74</v>
      </c>
      <c r="I2" s="2" t="s">
        <v>75</v>
      </c>
      <c r="J2" s="2">
        <v>498090</v>
      </c>
      <c r="K2" s="2" t="s">
        <v>76</v>
      </c>
      <c r="L2" s="2" t="s">
        <v>77</v>
      </c>
      <c r="M2" s="2" t="s">
        <v>77</v>
      </c>
      <c r="N2" s="2">
        <v>1</v>
      </c>
      <c r="O2" s="2">
        <v>2020</v>
      </c>
      <c r="P2" s="57">
        <v>43831</v>
      </c>
    </row>
    <row r="3" spans="1:16" x14ac:dyDescent="0.35">
      <c r="A3" s="2" t="s">
        <v>78</v>
      </c>
      <c r="B3" s="2">
        <v>3</v>
      </c>
      <c r="C3" s="2">
        <v>3</v>
      </c>
      <c r="D3" s="2">
        <v>3</v>
      </c>
      <c r="E3" s="2">
        <v>3</v>
      </c>
      <c r="F3" s="2">
        <v>3</v>
      </c>
      <c r="G3" s="2" t="s">
        <v>42</v>
      </c>
      <c r="H3" s="2" t="s">
        <v>74</v>
      </c>
      <c r="I3" s="2" t="s">
        <v>79</v>
      </c>
      <c r="J3" s="2">
        <v>710209</v>
      </c>
      <c r="K3" s="2" t="s">
        <v>76</v>
      </c>
      <c r="L3" s="2" t="s">
        <v>77</v>
      </c>
      <c r="M3" s="2" t="s">
        <v>77</v>
      </c>
      <c r="N3" s="2">
        <v>1</v>
      </c>
      <c r="O3" s="2">
        <v>2020</v>
      </c>
      <c r="P3" s="57">
        <v>43831</v>
      </c>
    </row>
    <row r="4" spans="1:16" x14ac:dyDescent="0.35">
      <c r="A4" s="2" t="s">
        <v>78</v>
      </c>
      <c r="B4" s="2">
        <v>2</v>
      </c>
      <c r="C4" s="2">
        <v>2</v>
      </c>
      <c r="D4" s="2">
        <v>2</v>
      </c>
      <c r="E4" s="2">
        <v>2</v>
      </c>
      <c r="F4" s="2">
        <v>2</v>
      </c>
      <c r="G4" s="2" t="s">
        <v>42</v>
      </c>
      <c r="H4" s="2" t="s">
        <v>74</v>
      </c>
      <c r="I4" s="2" t="s">
        <v>79</v>
      </c>
      <c r="J4" s="2">
        <v>710209</v>
      </c>
      <c r="K4" s="2" t="s">
        <v>76</v>
      </c>
      <c r="L4" s="2" t="s">
        <v>77</v>
      </c>
      <c r="M4" s="2" t="s">
        <v>77</v>
      </c>
      <c r="N4" s="2">
        <v>1</v>
      </c>
      <c r="O4" s="2">
        <v>2020</v>
      </c>
      <c r="P4" s="57">
        <v>43831</v>
      </c>
    </row>
    <row r="5" spans="1:16" x14ac:dyDescent="0.35">
      <c r="A5" s="2" t="s">
        <v>80</v>
      </c>
      <c r="B5" s="2">
        <v>2</v>
      </c>
      <c r="C5" s="2">
        <v>4</v>
      </c>
      <c r="D5" s="2">
        <v>4</v>
      </c>
      <c r="E5" s="2">
        <v>2</v>
      </c>
      <c r="F5" s="2">
        <v>2</v>
      </c>
      <c r="G5" s="2" t="s">
        <v>40</v>
      </c>
      <c r="H5" s="2" t="s">
        <v>74</v>
      </c>
      <c r="I5" s="2" t="s">
        <v>79</v>
      </c>
      <c r="J5" s="2">
        <v>710209</v>
      </c>
      <c r="K5" s="2" t="s">
        <v>76</v>
      </c>
      <c r="L5" s="2" t="s">
        <v>77</v>
      </c>
      <c r="M5" s="2" t="s">
        <v>77</v>
      </c>
      <c r="N5" s="2">
        <v>1</v>
      </c>
      <c r="O5" s="2">
        <v>2020</v>
      </c>
      <c r="P5" s="57">
        <v>43831</v>
      </c>
    </row>
    <row r="6" spans="1:16" x14ac:dyDescent="0.35">
      <c r="A6" s="2" t="s">
        <v>81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 t="s">
        <v>42</v>
      </c>
      <c r="H6" s="2" t="s">
        <v>74</v>
      </c>
      <c r="I6" s="2" t="s">
        <v>79</v>
      </c>
      <c r="J6" s="2">
        <v>710209</v>
      </c>
      <c r="K6" s="2" t="s">
        <v>76</v>
      </c>
      <c r="L6" s="2" t="s">
        <v>77</v>
      </c>
      <c r="M6" s="2" t="s">
        <v>77</v>
      </c>
      <c r="N6" s="2">
        <v>1</v>
      </c>
      <c r="O6" s="2">
        <v>2020</v>
      </c>
      <c r="P6" s="57">
        <v>43831</v>
      </c>
    </row>
    <row r="7" spans="1:16" x14ac:dyDescent="0.35">
      <c r="A7" s="2" t="s">
        <v>81</v>
      </c>
      <c r="B7" s="2">
        <v>6</v>
      </c>
      <c r="C7" s="2">
        <v>9</v>
      </c>
      <c r="D7" s="2">
        <v>9</v>
      </c>
      <c r="E7" s="2">
        <v>6</v>
      </c>
      <c r="F7" s="2">
        <v>2</v>
      </c>
      <c r="G7" s="2" t="s">
        <v>42</v>
      </c>
      <c r="H7" s="2" t="s">
        <v>74</v>
      </c>
      <c r="I7" s="2" t="s">
        <v>79</v>
      </c>
      <c r="J7" s="2">
        <v>710209</v>
      </c>
      <c r="K7" s="2" t="s">
        <v>76</v>
      </c>
      <c r="L7" s="2" t="s">
        <v>77</v>
      </c>
      <c r="M7" s="2" t="s">
        <v>77</v>
      </c>
      <c r="N7" s="2">
        <v>1</v>
      </c>
      <c r="O7" s="2">
        <v>2020</v>
      </c>
      <c r="P7" s="57">
        <v>43831</v>
      </c>
    </row>
    <row r="8" spans="1:16" x14ac:dyDescent="0.35">
      <c r="A8" s="2" t="s">
        <v>82</v>
      </c>
      <c r="B8" s="2">
        <v>1</v>
      </c>
      <c r="C8" s="2">
        <v>1</v>
      </c>
      <c r="D8" s="2">
        <v>1</v>
      </c>
      <c r="E8" s="2">
        <v>1</v>
      </c>
      <c r="F8" s="2">
        <v>1</v>
      </c>
      <c r="G8" s="2" t="s">
        <v>40</v>
      </c>
      <c r="H8" s="2" t="s">
        <v>83</v>
      </c>
      <c r="I8" s="2" t="s">
        <v>79</v>
      </c>
      <c r="J8" s="2">
        <v>710209</v>
      </c>
      <c r="K8" s="2" t="s">
        <v>76</v>
      </c>
      <c r="L8" s="2" t="s">
        <v>77</v>
      </c>
      <c r="M8" s="2" t="s">
        <v>77</v>
      </c>
      <c r="N8" s="2">
        <v>1</v>
      </c>
      <c r="O8" s="2">
        <v>2020</v>
      </c>
      <c r="P8" s="57">
        <v>43831</v>
      </c>
    </row>
    <row r="9" spans="1:16" x14ac:dyDescent="0.35">
      <c r="A9" s="2" t="s">
        <v>82</v>
      </c>
      <c r="B9" s="2">
        <v>2</v>
      </c>
      <c r="C9" s="2">
        <v>2</v>
      </c>
      <c r="D9" s="2">
        <v>2</v>
      </c>
      <c r="E9" s="2">
        <v>2</v>
      </c>
      <c r="F9" s="2">
        <v>1</v>
      </c>
      <c r="G9" s="2" t="s">
        <v>42</v>
      </c>
      <c r="H9" s="2" t="s">
        <v>83</v>
      </c>
      <c r="I9" s="2" t="s">
        <v>79</v>
      </c>
      <c r="J9" s="2">
        <v>710209</v>
      </c>
      <c r="K9" s="2" t="s">
        <v>76</v>
      </c>
      <c r="L9" s="2" t="s">
        <v>77</v>
      </c>
      <c r="M9" s="2" t="s">
        <v>77</v>
      </c>
      <c r="N9" s="2">
        <v>1</v>
      </c>
      <c r="O9" s="2">
        <v>2020</v>
      </c>
      <c r="P9" s="57">
        <v>43831</v>
      </c>
    </row>
    <row r="10" spans="1:16" x14ac:dyDescent="0.35">
      <c r="A10" s="2" t="s">
        <v>84</v>
      </c>
      <c r="B10" s="2">
        <v>2</v>
      </c>
      <c r="C10" s="2">
        <v>2</v>
      </c>
      <c r="D10" s="2">
        <v>2</v>
      </c>
      <c r="E10" s="2">
        <v>2</v>
      </c>
      <c r="F10" s="2">
        <v>2</v>
      </c>
      <c r="G10" s="2" t="s">
        <v>42</v>
      </c>
      <c r="H10" s="2" t="s">
        <v>74</v>
      </c>
      <c r="I10" s="2" t="s">
        <v>85</v>
      </c>
      <c r="J10" s="2">
        <v>555141</v>
      </c>
      <c r="K10" s="2" t="s">
        <v>76</v>
      </c>
      <c r="L10" s="2" t="s">
        <v>77</v>
      </c>
      <c r="M10" s="2" t="s">
        <v>77</v>
      </c>
      <c r="N10" s="2">
        <v>1</v>
      </c>
      <c r="O10" s="2">
        <v>2020</v>
      </c>
      <c r="P10" s="57">
        <v>43831</v>
      </c>
    </row>
    <row r="11" spans="1:16" x14ac:dyDescent="0.35">
      <c r="A11" s="2" t="s">
        <v>86</v>
      </c>
      <c r="B11" s="2">
        <v>1</v>
      </c>
      <c r="C11" s="2">
        <v>1</v>
      </c>
      <c r="D11" s="2">
        <v>1</v>
      </c>
      <c r="E11" s="2">
        <v>1</v>
      </c>
      <c r="F11" s="2">
        <v>1</v>
      </c>
      <c r="G11" s="2" t="s">
        <v>42</v>
      </c>
      <c r="H11" s="2" t="s">
        <v>87</v>
      </c>
      <c r="I11" s="2" t="s">
        <v>79</v>
      </c>
      <c r="J11" s="2">
        <v>710209</v>
      </c>
      <c r="K11" s="2" t="s">
        <v>76</v>
      </c>
      <c r="L11" s="2" t="s">
        <v>77</v>
      </c>
      <c r="M11" s="2" t="s">
        <v>77</v>
      </c>
      <c r="N11" s="2">
        <v>1</v>
      </c>
      <c r="O11" s="2">
        <v>2020</v>
      </c>
      <c r="P11" s="57">
        <v>43831</v>
      </c>
    </row>
    <row r="12" spans="1:16" x14ac:dyDescent="0.35">
      <c r="A12" s="2" t="s">
        <v>86</v>
      </c>
      <c r="B12" s="2">
        <v>1</v>
      </c>
      <c r="C12" s="2">
        <v>1</v>
      </c>
      <c r="D12" s="2">
        <v>1</v>
      </c>
      <c r="E12" s="2">
        <v>1</v>
      </c>
      <c r="F12" s="2">
        <v>1</v>
      </c>
      <c r="G12" s="2" t="s">
        <v>42</v>
      </c>
      <c r="H12" s="2" t="s">
        <v>87</v>
      </c>
      <c r="I12" s="2" t="s">
        <v>79</v>
      </c>
      <c r="J12" s="2">
        <v>710209</v>
      </c>
      <c r="K12" s="2" t="s">
        <v>76</v>
      </c>
      <c r="L12" s="2" t="s">
        <v>77</v>
      </c>
      <c r="M12" s="2" t="s">
        <v>77</v>
      </c>
      <c r="N12" s="2">
        <v>1</v>
      </c>
      <c r="O12" s="2">
        <v>2020</v>
      </c>
      <c r="P12" s="57">
        <v>43831</v>
      </c>
    </row>
    <row r="13" spans="1:16" x14ac:dyDescent="0.35">
      <c r="A13" s="2" t="s">
        <v>88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 t="s">
        <v>42</v>
      </c>
      <c r="H13" s="2" t="s">
        <v>74</v>
      </c>
      <c r="I13" s="2" t="s">
        <v>79</v>
      </c>
      <c r="J13" s="2">
        <v>710209</v>
      </c>
      <c r="K13" s="2" t="s">
        <v>76</v>
      </c>
      <c r="L13" s="2" t="s">
        <v>77</v>
      </c>
      <c r="M13" s="2" t="s">
        <v>77</v>
      </c>
      <c r="N13" s="2">
        <v>1</v>
      </c>
      <c r="O13" s="2">
        <v>2020</v>
      </c>
      <c r="P13" s="57">
        <v>43831</v>
      </c>
    </row>
    <row r="14" spans="1:16" x14ac:dyDescent="0.35">
      <c r="A14" s="2" t="s">
        <v>89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 t="s">
        <v>42</v>
      </c>
      <c r="H14" s="2" t="s">
        <v>87</v>
      </c>
      <c r="I14" s="2" t="s">
        <v>79</v>
      </c>
      <c r="J14" s="2">
        <v>710209</v>
      </c>
      <c r="K14" s="2" t="s">
        <v>76</v>
      </c>
      <c r="L14" s="2" t="s">
        <v>77</v>
      </c>
      <c r="M14" s="2" t="s">
        <v>77</v>
      </c>
      <c r="N14" s="2">
        <v>1</v>
      </c>
      <c r="O14" s="2">
        <v>2021</v>
      </c>
      <c r="P14" s="57">
        <v>44197</v>
      </c>
    </row>
    <row r="15" spans="1:16" x14ac:dyDescent="0.35">
      <c r="A15" s="2" t="s">
        <v>90</v>
      </c>
      <c r="B15" s="2">
        <v>1</v>
      </c>
      <c r="C15" s="2">
        <v>1</v>
      </c>
      <c r="D15" s="2">
        <v>1</v>
      </c>
      <c r="E15" s="2">
        <v>1</v>
      </c>
      <c r="F15" s="2">
        <v>1</v>
      </c>
      <c r="G15" s="2" t="s">
        <v>42</v>
      </c>
      <c r="H15" s="2" t="s">
        <v>57</v>
      </c>
      <c r="I15" s="2" t="s">
        <v>91</v>
      </c>
      <c r="J15" s="2">
        <v>623190</v>
      </c>
      <c r="K15" s="2" t="s">
        <v>76</v>
      </c>
      <c r="L15" s="2" t="s">
        <v>77</v>
      </c>
      <c r="M15" s="2" t="s">
        <v>77</v>
      </c>
      <c r="N15" s="2">
        <v>1</v>
      </c>
      <c r="O15" s="2">
        <v>2021</v>
      </c>
      <c r="P15" s="57">
        <v>44197</v>
      </c>
    </row>
    <row r="16" spans="1:16" x14ac:dyDescent="0.35">
      <c r="A16" s="2" t="s">
        <v>80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 t="s">
        <v>42</v>
      </c>
      <c r="H16" s="2" t="s">
        <v>74</v>
      </c>
      <c r="I16" s="2" t="s">
        <v>79</v>
      </c>
      <c r="J16" s="2">
        <v>710209</v>
      </c>
      <c r="K16" s="2" t="s">
        <v>76</v>
      </c>
      <c r="L16" s="2" t="s">
        <v>77</v>
      </c>
      <c r="M16" s="2" t="s">
        <v>77</v>
      </c>
      <c r="N16" s="2">
        <v>1</v>
      </c>
      <c r="O16" s="2">
        <v>2021</v>
      </c>
      <c r="P16" s="57">
        <v>44197</v>
      </c>
    </row>
    <row r="17" spans="1:16" x14ac:dyDescent="0.35">
      <c r="A17" s="2" t="s">
        <v>80</v>
      </c>
      <c r="B17" s="2">
        <v>1</v>
      </c>
      <c r="C17" s="2">
        <v>1</v>
      </c>
      <c r="D17" s="2">
        <v>1</v>
      </c>
      <c r="E17" s="2">
        <v>1</v>
      </c>
      <c r="F17" s="2">
        <v>1</v>
      </c>
      <c r="G17" s="2" t="s">
        <v>40</v>
      </c>
      <c r="H17" s="2" t="s">
        <v>74</v>
      </c>
      <c r="I17" s="2" t="s">
        <v>79</v>
      </c>
      <c r="J17" s="2">
        <v>710209</v>
      </c>
      <c r="K17" s="2" t="s">
        <v>76</v>
      </c>
      <c r="L17" s="2" t="s">
        <v>77</v>
      </c>
      <c r="M17" s="2" t="s">
        <v>77</v>
      </c>
      <c r="N17" s="2">
        <v>1</v>
      </c>
      <c r="O17" s="2">
        <v>2021</v>
      </c>
      <c r="P17" s="57">
        <v>44197</v>
      </c>
    </row>
    <row r="18" spans="1:16" x14ac:dyDescent="0.35">
      <c r="A18" s="2" t="s">
        <v>92</v>
      </c>
      <c r="B18" s="2">
        <v>2</v>
      </c>
      <c r="C18" s="2">
        <v>2</v>
      </c>
      <c r="D18" s="2">
        <v>2</v>
      </c>
      <c r="E18" s="2">
        <v>2</v>
      </c>
      <c r="F18" s="2">
        <v>1</v>
      </c>
      <c r="G18" s="2" t="s">
        <v>40</v>
      </c>
      <c r="H18" s="2" t="s">
        <v>74</v>
      </c>
      <c r="I18" s="2" t="s">
        <v>79</v>
      </c>
      <c r="J18" s="2">
        <v>710209</v>
      </c>
      <c r="K18" s="2" t="s">
        <v>76</v>
      </c>
      <c r="L18" s="2" t="s">
        <v>77</v>
      </c>
      <c r="M18" s="2" t="s">
        <v>77</v>
      </c>
      <c r="N18" s="2">
        <v>1</v>
      </c>
      <c r="O18" s="2">
        <v>2021</v>
      </c>
      <c r="P18" s="57">
        <v>44197</v>
      </c>
    </row>
    <row r="19" spans="1:16" x14ac:dyDescent="0.35">
      <c r="A19" s="2" t="s">
        <v>81</v>
      </c>
      <c r="B19" s="2">
        <v>1</v>
      </c>
      <c r="C19" s="2">
        <v>3</v>
      </c>
      <c r="D19" s="2">
        <v>3</v>
      </c>
      <c r="E19" s="2">
        <v>1</v>
      </c>
      <c r="F19" s="2">
        <v>1</v>
      </c>
      <c r="G19" s="2" t="s">
        <v>42</v>
      </c>
      <c r="H19" s="2" t="s">
        <v>74</v>
      </c>
      <c r="I19" s="2" t="s">
        <v>79</v>
      </c>
      <c r="J19" s="2">
        <v>710209</v>
      </c>
      <c r="K19" s="2" t="s">
        <v>76</v>
      </c>
      <c r="L19" s="2" t="s">
        <v>77</v>
      </c>
      <c r="M19" s="2" t="s">
        <v>77</v>
      </c>
      <c r="N19" s="2">
        <v>1</v>
      </c>
      <c r="O19" s="2">
        <v>2021</v>
      </c>
      <c r="P19" s="57">
        <v>44197</v>
      </c>
    </row>
    <row r="20" spans="1:16" x14ac:dyDescent="0.35">
      <c r="A20" s="2" t="s">
        <v>81</v>
      </c>
      <c r="B20" s="2">
        <v>1</v>
      </c>
      <c r="C20" s="2">
        <v>1</v>
      </c>
      <c r="D20" s="2">
        <v>1</v>
      </c>
      <c r="E20" s="2">
        <v>1</v>
      </c>
      <c r="F20" s="2">
        <v>1</v>
      </c>
      <c r="G20" s="2" t="s">
        <v>37</v>
      </c>
      <c r="H20" s="2" t="s">
        <v>74</v>
      </c>
      <c r="I20" s="2" t="s">
        <v>79</v>
      </c>
      <c r="J20" s="2">
        <v>710209</v>
      </c>
      <c r="K20" s="2" t="s">
        <v>76</v>
      </c>
      <c r="L20" s="2" t="s">
        <v>77</v>
      </c>
      <c r="M20" s="2" t="s">
        <v>77</v>
      </c>
      <c r="N20" s="2">
        <v>1</v>
      </c>
      <c r="O20" s="2">
        <v>2021</v>
      </c>
      <c r="P20" s="57">
        <v>44197</v>
      </c>
    </row>
    <row r="21" spans="1:16" x14ac:dyDescent="0.35">
      <c r="A21" s="2" t="s">
        <v>81</v>
      </c>
      <c r="B21" s="2">
        <v>1</v>
      </c>
      <c r="C21" s="2">
        <v>1</v>
      </c>
      <c r="D21" s="2">
        <v>1</v>
      </c>
      <c r="E21" s="2">
        <v>1</v>
      </c>
      <c r="F21" s="2">
        <v>1</v>
      </c>
      <c r="G21" s="2" t="s">
        <v>37</v>
      </c>
      <c r="H21" s="2" t="s">
        <v>74</v>
      </c>
      <c r="I21" s="2" t="s">
        <v>79</v>
      </c>
      <c r="J21" s="2">
        <v>710209</v>
      </c>
      <c r="K21" s="2" t="s">
        <v>76</v>
      </c>
      <c r="L21" s="2" t="s">
        <v>77</v>
      </c>
      <c r="M21" s="2" t="s">
        <v>77</v>
      </c>
      <c r="N21" s="2">
        <v>1</v>
      </c>
      <c r="O21" s="2">
        <v>2021</v>
      </c>
      <c r="P21" s="57">
        <v>44197</v>
      </c>
    </row>
    <row r="22" spans="1:16" x14ac:dyDescent="0.35">
      <c r="A22" s="2" t="s">
        <v>81</v>
      </c>
      <c r="B22" s="2">
        <v>1</v>
      </c>
      <c r="C22" s="2">
        <v>1</v>
      </c>
      <c r="D22" s="2">
        <v>1</v>
      </c>
      <c r="E22" s="2">
        <v>1</v>
      </c>
      <c r="F22" s="2">
        <v>1</v>
      </c>
      <c r="G22" s="2" t="s">
        <v>37</v>
      </c>
      <c r="H22" s="2" t="s">
        <v>74</v>
      </c>
      <c r="I22" s="2" t="s">
        <v>79</v>
      </c>
      <c r="J22" s="2">
        <v>710209</v>
      </c>
      <c r="K22" s="2" t="s">
        <v>76</v>
      </c>
      <c r="L22" s="2" t="s">
        <v>77</v>
      </c>
      <c r="M22" s="2" t="s">
        <v>77</v>
      </c>
      <c r="N22" s="2">
        <v>1</v>
      </c>
      <c r="O22" s="2">
        <v>2021</v>
      </c>
      <c r="P22" s="57">
        <v>44197</v>
      </c>
    </row>
    <row r="23" spans="1:16" x14ac:dyDescent="0.35">
      <c r="A23" s="2" t="s">
        <v>81</v>
      </c>
      <c r="B23" s="2">
        <v>1</v>
      </c>
      <c r="C23" s="2">
        <v>1</v>
      </c>
      <c r="D23" s="2">
        <v>1</v>
      </c>
      <c r="E23" s="2">
        <v>1</v>
      </c>
      <c r="F23" s="2">
        <v>1</v>
      </c>
      <c r="G23" s="2" t="s">
        <v>37</v>
      </c>
      <c r="H23" s="2" t="s">
        <v>74</v>
      </c>
      <c r="I23" s="2" t="s">
        <v>79</v>
      </c>
      <c r="J23" s="2">
        <v>710209</v>
      </c>
      <c r="K23" s="2" t="s">
        <v>76</v>
      </c>
      <c r="L23" s="2" t="s">
        <v>77</v>
      </c>
      <c r="M23" s="2" t="s">
        <v>77</v>
      </c>
      <c r="N23" s="2">
        <v>1</v>
      </c>
      <c r="O23" s="2">
        <v>2021</v>
      </c>
      <c r="P23" s="57">
        <v>44197</v>
      </c>
    </row>
    <row r="24" spans="1:16" x14ac:dyDescent="0.35">
      <c r="A24" s="2" t="s">
        <v>81</v>
      </c>
      <c r="B24" s="2">
        <v>1</v>
      </c>
      <c r="C24" s="2">
        <v>1</v>
      </c>
      <c r="D24" s="2">
        <v>1</v>
      </c>
      <c r="E24" s="2">
        <v>1</v>
      </c>
      <c r="F24" s="2">
        <v>1</v>
      </c>
      <c r="G24" s="2" t="s">
        <v>42</v>
      </c>
      <c r="H24" s="2" t="s">
        <v>74</v>
      </c>
      <c r="I24" s="2" t="s">
        <v>79</v>
      </c>
      <c r="J24" s="2">
        <v>710209</v>
      </c>
      <c r="K24" s="2" t="s">
        <v>76</v>
      </c>
      <c r="L24" s="2" t="s">
        <v>77</v>
      </c>
      <c r="M24" s="2" t="s">
        <v>77</v>
      </c>
      <c r="N24" s="2">
        <v>1</v>
      </c>
      <c r="O24" s="2">
        <v>2021</v>
      </c>
      <c r="P24" s="57">
        <v>44197</v>
      </c>
    </row>
    <row r="25" spans="1:16" x14ac:dyDescent="0.35">
      <c r="A25" s="2" t="s">
        <v>82</v>
      </c>
      <c r="B25" s="2">
        <v>1</v>
      </c>
      <c r="C25" s="2">
        <v>1</v>
      </c>
      <c r="D25" s="2">
        <v>1</v>
      </c>
      <c r="E25" s="2">
        <v>1</v>
      </c>
      <c r="F25" s="2">
        <v>1</v>
      </c>
      <c r="G25" s="2" t="s">
        <v>40</v>
      </c>
      <c r="H25" s="2" t="s">
        <v>83</v>
      </c>
      <c r="I25" s="2" t="s">
        <v>79</v>
      </c>
      <c r="J25" s="2">
        <v>710209</v>
      </c>
      <c r="K25" s="2" t="s">
        <v>76</v>
      </c>
      <c r="L25" s="2" t="s">
        <v>77</v>
      </c>
      <c r="M25" s="2" t="s">
        <v>77</v>
      </c>
      <c r="N25" s="2">
        <v>1</v>
      </c>
      <c r="O25" s="2">
        <v>2021</v>
      </c>
      <c r="P25" s="57">
        <v>44197</v>
      </c>
    </row>
    <row r="26" spans="1:16" x14ac:dyDescent="0.35">
      <c r="A26" s="2" t="s">
        <v>78</v>
      </c>
      <c r="B26" s="2">
        <v>1</v>
      </c>
      <c r="C26" s="2">
        <v>1</v>
      </c>
      <c r="D26" s="2">
        <v>1</v>
      </c>
      <c r="E26" s="2">
        <v>1</v>
      </c>
      <c r="F26" s="2">
        <v>1</v>
      </c>
      <c r="G26" s="2" t="s">
        <v>42</v>
      </c>
      <c r="H26" s="2" t="s">
        <v>74</v>
      </c>
      <c r="I26" s="2" t="s">
        <v>93</v>
      </c>
      <c r="J26" s="2">
        <v>710209</v>
      </c>
      <c r="K26" s="2" t="s">
        <v>76</v>
      </c>
      <c r="L26" s="2" t="s">
        <v>77</v>
      </c>
      <c r="M26" s="2" t="s">
        <v>77</v>
      </c>
      <c r="N26" s="2">
        <v>1</v>
      </c>
      <c r="O26" s="2">
        <v>2022</v>
      </c>
      <c r="P26" s="57">
        <v>44562</v>
      </c>
    </row>
    <row r="27" spans="1:16" x14ac:dyDescent="0.35">
      <c r="A27" s="2" t="s">
        <v>78</v>
      </c>
      <c r="B27" s="2">
        <v>4</v>
      </c>
      <c r="C27" s="2">
        <v>4</v>
      </c>
      <c r="D27" s="2">
        <v>4</v>
      </c>
      <c r="E27" s="2">
        <v>4</v>
      </c>
      <c r="F27" s="2">
        <v>2</v>
      </c>
      <c r="G27" s="2" t="s">
        <v>37</v>
      </c>
      <c r="H27" s="2" t="s">
        <v>74</v>
      </c>
      <c r="I27" s="2" t="s">
        <v>93</v>
      </c>
      <c r="J27" s="2">
        <v>710209</v>
      </c>
      <c r="K27" s="2" t="s">
        <v>76</v>
      </c>
      <c r="L27" s="2" t="s">
        <v>77</v>
      </c>
      <c r="M27" s="2" t="s">
        <v>77</v>
      </c>
      <c r="N27" s="2">
        <v>1</v>
      </c>
      <c r="O27" s="2">
        <v>2022</v>
      </c>
      <c r="P27" s="57">
        <v>44562</v>
      </c>
    </row>
    <row r="28" spans="1:16" x14ac:dyDescent="0.35">
      <c r="A28" s="2" t="s">
        <v>81</v>
      </c>
      <c r="B28" s="2">
        <v>1</v>
      </c>
      <c r="C28" s="2">
        <v>1</v>
      </c>
      <c r="D28" s="2">
        <v>1</v>
      </c>
      <c r="E28" s="2">
        <v>1</v>
      </c>
      <c r="F28" s="2">
        <v>1</v>
      </c>
      <c r="G28" s="2" t="s">
        <v>42</v>
      </c>
      <c r="H28" s="2" t="s">
        <v>74</v>
      </c>
      <c r="I28" s="2" t="s">
        <v>93</v>
      </c>
      <c r="J28" s="2">
        <v>710209</v>
      </c>
      <c r="K28" s="2" t="s">
        <v>76</v>
      </c>
      <c r="L28" s="2" t="s">
        <v>77</v>
      </c>
      <c r="M28" s="2" t="s">
        <v>77</v>
      </c>
      <c r="N28" s="2">
        <v>1</v>
      </c>
      <c r="O28" s="2">
        <v>2022</v>
      </c>
      <c r="P28" s="57">
        <v>44562</v>
      </c>
    </row>
    <row r="29" spans="1:16" x14ac:dyDescent="0.35">
      <c r="A29" s="2" t="s">
        <v>81</v>
      </c>
      <c r="B29" s="2">
        <v>2</v>
      </c>
      <c r="C29" s="2">
        <v>4</v>
      </c>
      <c r="D29" s="2">
        <v>4</v>
      </c>
      <c r="E29" s="2">
        <v>2</v>
      </c>
      <c r="F29" s="2">
        <v>1</v>
      </c>
      <c r="G29" s="2" t="s">
        <v>37</v>
      </c>
      <c r="H29" s="2" t="s">
        <v>74</v>
      </c>
      <c r="I29" s="2" t="s">
        <v>93</v>
      </c>
      <c r="J29" s="2">
        <v>710209</v>
      </c>
      <c r="K29" s="2" t="s">
        <v>76</v>
      </c>
      <c r="L29" s="2" t="s">
        <v>77</v>
      </c>
      <c r="M29" s="2" t="s">
        <v>77</v>
      </c>
      <c r="N29" s="2">
        <v>1</v>
      </c>
      <c r="O29" s="2">
        <v>2022</v>
      </c>
      <c r="P29" s="57">
        <v>44562</v>
      </c>
    </row>
    <row r="30" spans="1:16" x14ac:dyDescent="0.35">
      <c r="A30" s="2" t="s">
        <v>82</v>
      </c>
      <c r="B30" s="2">
        <v>2</v>
      </c>
      <c r="C30" s="2">
        <v>3</v>
      </c>
      <c r="D30" s="2">
        <v>3</v>
      </c>
      <c r="E30" s="2">
        <v>2</v>
      </c>
      <c r="F30" s="2">
        <v>2</v>
      </c>
      <c r="G30" s="2" t="s">
        <v>40</v>
      </c>
      <c r="H30" s="2" t="s">
        <v>83</v>
      </c>
      <c r="I30" s="2" t="s">
        <v>93</v>
      </c>
      <c r="J30" s="2">
        <v>710209</v>
      </c>
      <c r="K30" s="2" t="s">
        <v>76</v>
      </c>
      <c r="L30" s="2" t="s">
        <v>77</v>
      </c>
      <c r="M30" s="2" t="s">
        <v>77</v>
      </c>
      <c r="N30" s="2">
        <v>1</v>
      </c>
      <c r="O30" s="2">
        <v>2022</v>
      </c>
      <c r="P30" s="57">
        <v>44562</v>
      </c>
    </row>
    <row r="31" spans="1:16" x14ac:dyDescent="0.35">
      <c r="A31" s="2" t="s">
        <v>94</v>
      </c>
      <c r="B31" s="2">
        <v>1</v>
      </c>
      <c r="C31" s="2">
        <v>1</v>
      </c>
      <c r="D31" s="2">
        <v>1</v>
      </c>
      <c r="E31" s="2">
        <v>1</v>
      </c>
      <c r="F31" s="2">
        <v>1</v>
      </c>
      <c r="G31" s="2" t="s">
        <v>37</v>
      </c>
      <c r="H31" s="2" t="s">
        <v>74</v>
      </c>
      <c r="I31" s="2" t="s">
        <v>95</v>
      </c>
      <c r="J31" s="2">
        <v>750318</v>
      </c>
      <c r="K31" s="2" t="s">
        <v>76</v>
      </c>
      <c r="L31" s="2" t="s">
        <v>77</v>
      </c>
      <c r="M31" s="2" t="s">
        <v>77</v>
      </c>
      <c r="N31" s="2">
        <v>1</v>
      </c>
      <c r="O31" s="2">
        <v>2022</v>
      </c>
      <c r="P31" s="57">
        <v>44562</v>
      </c>
    </row>
    <row r="32" spans="1:16" x14ac:dyDescent="0.35">
      <c r="A32" s="2" t="s">
        <v>96</v>
      </c>
      <c r="B32" s="2">
        <v>2</v>
      </c>
      <c r="C32" s="2">
        <v>2</v>
      </c>
      <c r="D32" s="2">
        <v>2</v>
      </c>
      <c r="E32" s="2">
        <v>2</v>
      </c>
      <c r="F32" s="2">
        <v>2</v>
      </c>
      <c r="G32" s="2" t="s">
        <v>40</v>
      </c>
      <c r="H32" s="2" t="s">
        <v>74</v>
      </c>
      <c r="I32" s="2" t="s">
        <v>85</v>
      </c>
      <c r="J32" s="2">
        <v>555141</v>
      </c>
      <c r="K32" s="2" t="s">
        <v>76</v>
      </c>
      <c r="L32" s="2" t="s">
        <v>77</v>
      </c>
      <c r="M32" s="2" t="s">
        <v>77</v>
      </c>
      <c r="N32" s="2">
        <v>1</v>
      </c>
      <c r="O32" s="2">
        <v>2022</v>
      </c>
      <c r="P32" s="57">
        <v>44562</v>
      </c>
    </row>
    <row r="33" spans="1:16" x14ac:dyDescent="0.35">
      <c r="A33" s="2" t="s">
        <v>97</v>
      </c>
      <c r="B33" s="2">
        <v>2</v>
      </c>
      <c r="C33" s="2">
        <v>2</v>
      </c>
      <c r="D33" s="2">
        <v>2</v>
      </c>
      <c r="E33" s="2">
        <v>2</v>
      </c>
      <c r="F33" s="2">
        <v>2</v>
      </c>
      <c r="G33" s="2" t="s">
        <v>42</v>
      </c>
      <c r="H33" s="2"/>
      <c r="I33" s="2" t="s">
        <v>97</v>
      </c>
      <c r="J33" s="2">
        <v>639813</v>
      </c>
      <c r="K33" s="2" t="s">
        <v>76</v>
      </c>
      <c r="L33" s="2" t="s">
        <v>77</v>
      </c>
      <c r="M33" s="2" t="s">
        <v>77</v>
      </c>
      <c r="N33" s="2">
        <v>1</v>
      </c>
      <c r="O33" s="2">
        <v>2022</v>
      </c>
      <c r="P33" s="57">
        <v>44562</v>
      </c>
    </row>
    <row r="34" spans="1:16" x14ac:dyDescent="0.35">
      <c r="A34" s="2" t="s">
        <v>86</v>
      </c>
      <c r="B34" s="2">
        <v>2</v>
      </c>
      <c r="C34" s="2">
        <v>2</v>
      </c>
      <c r="D34" s="2">
        <v>2</v>
      </c>
      <c r="E34" s="2">
        <v>2</v>
      </c>
      <c r="F34" s="2">
        <v>2</v>
      </c>
      <c r="G34" s="2" t="s">
        <v>42</v>
      </c>
      <c r="H34" s="2" t="s">
        <v>87</v>
      </c>
      <c r="I34" s="2" t="s">
        <v>93</v>
      </c>
      <c r="J34" s="2">
        <v>710209</v>
      </c>
      <c r="K34" s="2" t="s">
        <v>76</v>
      </c>
      <c r="L34" s="2" t="s">
        <v>77</v>
      </c>
      <c r="M34" s="2" t="s">
        <v>77</v>
      </c>
      <c r="N34" s="2">
        <v>1</v>
      </c>
      <c r="O34" s="2">
        <v>2022</v>
      </c>
      <c r="P34" s="57">
        <v>44562</v>
      </c>
    </row>
    <row r="35" spans="1:16" x14ac:dyDescent="0.35">
      <c r="A35" s="2" t="s">
        <v>78</v>
      </c>
      <c r="B35" s="2">
        <v>2</v>
      </c>
      <c r="C35" s="2">
        <v>4</v>
      </c>
      <c r="D35" s="2">
        <v>5</v>
      </c>
      <c r="E35" s="2">
        <v>3</v>
      </c>
      <c r="F35" s="2">
        <v>2</v>
      </c>
      <c r="G35" s="2" t="s">
        <v>42</v>
      </c>
      <c r="H35" s="2" t="s">
        <v>74</v>
      </c>
      <c r="I35" s="2" t="s">
        <v>98</v>
      </c>
      <c r="J35" s="2">
        <v>710209</v>
      </c>
      <c r="K35" s="2" t="s">
        <v>76</v>
      </c>
      <c r="L35" s="2" t="s">
        <v>77</v>
      </c>
      <c r="M35" s="2" t="s">
        <v>77</v>
      </c>
      <c r="N35" s="2">
        <v>1</v>
      </c>
      <c r="O35" s="2">
        <v>2023</v>
      </c>
      <c r="P35" s="57">
        <v>44927</v>
      </c>
    </row>
    <row r="36" spans="1:16" x14ac:dyDescent="0.35">
      <c r="A36" s="2" t="s">
        <v>78</v>
      </c>
      <c r="B36" s="2">
        <v>3</v>
      </c>
      <c r="C36" s="2">
        <v>4</v>
      </c>
      <c r="D36" s="2">
        <v>5</v>
      </c>
      <c r="E36" s="2">
        <v>4</v>
      </c>
      <c r="F36" s="2">
        <v>1</v>
      </c>
      <c r="G36" s="2" t="s">
        <v>37</v>
      </c>
      <c r="H36" s="2" t="s">
        <v>74</v>
      </c>
      <c r="I36" s="2" t="s">
        <v>98</v>
      </c>
      <c r="J36" s="2">
        <v>710209</v>
      </c>
      <c r="K36" s="2" t="s">
        <v>76</v>
      </c>
      <c r="L36" s="2" t="s">
        <v>77</v>
      </c>
      <c r="M36" s="2" t="s">
        <v>77</v>
      </c>
      <c r="N36" s="2">
        <v>1</v>
      </c>
      <c r="O36" s="2">
        <v>2023</v>
      </c>
      <c r="P36" s="57">
        <v>44927</v>
      </c>
    </row>
    <row r="37" spans="1:16" x14ac:dyDescent="0.35">
      <c r="A37" s="2" t="s">
        <v>92</v>
      </c>
      <c r="B37" s="2">
        <v>1</v>
      </c>
      <c r="C37" s="2">
        <v>2</v>
      </c>
      <c r="D37" s="2">
        <v>2</v>
      </c>
      <c r="E37" s="2">
        <v>1</v>
      </c>
      <c r="F37" s="2">
        <v>1</v>
      </c>
      <c r="G37" s="2" t="s">
        <v>37</v>
      </c>
      <c r="H37" s="2" t="s">
        <v>74</v>
      </c>
      <c r="I37" s="2" t="s">
        <v>98</v>
      </c>
      <c r="J37" s="2">
        <v>710209</v>
      </c>
      <c r="K37" s="2" t="s">
        <v>76</v>
      </c>
      <c r="L37" s="2" t="s">
        <v>77</v>
      </c>
      <c r="M37" s="2" t="s">
        <v>77</v>
      </c>
      <c r="N37" s="2">
        <v>1</v>
      </c>
      <c r="O37" s="2">
        <v>2023</v>
      </c>
      <c r="P37" s="57">
        <v>44927</v>
      </c>
    </row>
    <row r="38" spans="1:16" x14ac:dyDescent="0.35">
      <c r="A38" s="2" t="s">
        <v>81</v>
      </c>
      <c r="B38" s="2">
        <v>3</v>
      </c>
      <c r="C38" s="2">
        <v>4</v>
      </c>
      <c r="D38" s="2">
        <v>4</v>
      </c>
      <c r="E38" s="2">
        <v>3</v>
      </c>
      <c r="F38" s="2">
        <v>2</v>
      </c>
      <c r="G38" s="2" t="s">
        <v>42</v>
      </c>
      <c r="H38" s="2" t="s">
        <v>74</v>
      </c>
      <c r="I38" s="2" t="s">
        <v>98</v>
      </c>
      <c r="J38" s="2">
        <v>710209</v>
      </c>
      <c r="K38" s="2" t="s">
        <v>76</v>
      </c>
      <c r="L38" s="2" t="s">
        <v>77</v>
      </c>
      <c r="M38" s="2" t="s">
        <v>77</v>
      </c>
      <c r="N38" s="2">
        <v>1</v>
      </c>
      <c r="O38" s="2">
        <v>2023</v>
      </c>
      <c r="P38" s="57">
        <v>44927</v>
      </c>
    </row>
    <row r="39" spans="1:16" x14ac:dyDescent="0.35">
      <c r="A39" s="2" t="s">
        <v>81</v>
      </c>
      <c r="B39" s="2">
        <v>8</v>
      </c>
      <c r="C39" s="2">
        <v>12</v>
      </c>
      <c r="D39" s="2">
        <v>12</v>
      </c>
      <c r="E39" s="2">
        <v>8</v>
      </c>
      <c r="F39" s="2">
        <v>3</v>
      </c>
      <c r="G39" s="2" t="s">
        <v>37</v>
      </c>
      <c r="H39" s="2" t="s">
        <v>74</v>
      </c>
      <c r="I39" s="2" t="s">
        <v>98</v>
      </c>
      <c r="J39" s="2">
        <v>710209</v>
      </c>
      <c r="K39" s="2" t="s">
        <v>76</v>
      </c>
      <c r="L39" s="2" t="s">
        <v>77</v>
      </c>
      <c r="M39" s="2" t="s">
        <v>77</v>
      </c>
      <c r="N39" s="2">
        <v>1</v>
      </c>
      <c r="O39" s="2">
        <v>2023</v>
      </c>
      <c r="P39" s="57">
        <v>44927</v>
      </c>
    </row>
    <row r="40" spans="1:16" x14ac:dyDescent="0.35">
      <c r="A40" s="2" t="s">
        <v>82</v>
      </c>
      <c r="B40" s="2">
        <v>1</v>
      </c>
      <c r="C40" s="2">
        <v>1</v>
      </c>
      <c r="D40" s="2">
        <v>1</v>
      </c>
      <c r="E40" s="2">
        <v>1</v>
      </c>
      <c r="F40" s="2">
        <v>1</v>
      </c>
      <c r="G40" s="2" t="s">
        <v>42</v>
      </c>
      <c r="H40" s="2" t="s">
        <v>83</v>
      </c>
      <c r="I40" s="2" t="s">
        <v>85</v>
      </c>
      <c r="J40" s="2">
        <v>555141</v>
      </c>
      <c r="K40" s="2" t="s">
        <v>76</v>
      </c>
      <c r="L40" s="2" t="s">
        <v>77</v>
      </c>
      <c r="M40" s="2" t="s">
        <v>77</v>
      </c>
      <c r="N40" s="2">
        <v>1</v>
      </c>
      <c r="O40" s="2">
        <v>2023</v>
      </c>
      <c r="P40" s="57">
        <v>44927</v>
      </c>
    </row>
    <row r="41" spans="1:16" x14ac:dyDescent="0.35">
      <c r="A41" s="2" t="s">
        <v>82</v>
      </c>
      <c r="B41" s="2">
        <v>3</v>
      </c>
      <c r="C41" s="2">
        <v>4</v>
      </c>
      <c r="D41" s="2">
        <v>4</v>
      </c>
      <c r="E41" s="2">
        <v>3</v>
      </c>
      <c r="F41" s="2">
        <v>3</v>
      </c>
      <c r="G41" s="2" t="s">
        <v>40</v>
      </c>
      <c r="H41" s="2" t="s">
        <v>83</v>
      </c>
      <c r="I41" s="2" t="s">
        <v>98</v>
      </c>
      <c r="J41" s="2">
        <v>710209</v>
      </c>
      <c r="K41" s="2" t="s">
        <v>76</v>
      </c>
      <c r="L41" s="2" t="s">
        <v>77</v>
      </c>
      <c r="M41" s="2" t="s">
        <v>77</v>
      </c>
      <c r="N41" s="2">
        <v>1</v>
      </c>
      <c r="O41" s="2">
        <v>2023</v>
      </c>
      <c r="P41" s="57">
        <v>44927</v>
      </c>
    </row>
    <row r="42" spans="1:16" x14ac:dyDescent="0.35">
      <c r="A42" s="2" t="s">
        <v>82</v>
      </c>
      <c r="B42" s="2">
        <v>3</v>
      </c>
      <c r="C42" s="2">
        <v>4</v>
      </c>
      <c r="D42" s="2">
        <v>4</v>
      </c>
      <c r="E42" s="2">
        <v>3</v>
      </c>
      <c r="F42" s="2">
        <v>1</v>
      </c>
      <c r="G42" s="2" t="s">
        <v>37</v>
      </c>
      <c r="H42" s="2" t="s">
        <v>83</v>
      </c>
      <c r="I42" s="2" t="s">
        <v>98</v>
      </c>
      <c r="J42" s="2">
        <v>710209</v>
      </c>
      <c r="K42" s="2" t="s">
        <v>76</v>
      </c>
      <c r="L42" s="2" t="s">
        <v>77</v>
      </c>
      <c r="M42" s="2" t="s">
        <v>77</v>
      </c>
      <c r="N42" s="2">
        <v>1</v>
      </c>
      <c r="O42" s="2">
        <v>2023</v>
      </c>
      <c r="P42" s="57">
        <v>44927</v>
      </c>
    </row>
    <row r="43" spans="1:16" x14ac:dyDescent="0.35">
      <c r="A43" s="2" t="s">
        <v>94</v>
      </c>
      <c r="B43" s="2">
        <v>2</v>
      </c>
      <c r="C43" s="2">
        <v>2</v>
      </c>
      <c r="D43" s="2">
        <v>2</v>
      </c>
      <c r="E43" s="2">
        <v>2</v>
      </c>
      <c r="F43" s="2">
        <v>2</v>
      </c>
      <c r="G43" s="2" t="s">
        <v>42</v>
      </c>
      <c r="H43" s="2" t="s">
        <v>74</v>
      </c>
      <c r="I43" s="2" t="s">
        <v>95</v>
      </c>
      <c r="J43" s="2">
        <v>750318</v>
      </c>
      <c r="K43" s="2" t="s">
        <v>76</v>
      </c>
      <c r="L43" s="2" t="s">
        <v>77</v>
      </c>
      <c r="M43" s="2" t="s">
        <v>77</v>
      </c>
      <c r="N43" s="2">
        <v>1</v>
      </c>
      <c r="O43" s="2">
        <v>2023</v>
      </c>
      <c r="P43" s="57">
        <v>44927</v>
      </c>
    </row>
    <row r="44" spans="1:16" x14ac:dyDescent="0.35">
      <c r="A44" s="2" t="s">
        <v>94</v>
      </c>
      <c r="B44" s="2">
        <v>1</v>
      </c>
      <c r="C44" s="2">
        <v>1</v>
      </c>
      <c r="D44" s="2">
        <v>1</v>
      </c>
      <c r="E44" s="2">
        <v>1</v>
      </c>
      <c r="F44" s="2">
        <v>1</v>
      </c>
      <c r="G44" s="2" t="s">
        <v>40</v>
      </c>
      <c r="H44" s="2" t="s">
        <v>74</v>
      </c>
      <c r="I44" s="2" t="s">
        <v>95</v>
      </c>
      <c r="J44" s="2">
        <v>750318</v>
      </c>
      <c r="K44" s="2" t="s">
        <v>76</v>
      </c>
      <c r="L44" s="2" t="s">
        <v>77</v>
      </c>
      <c r="M44" s="2" t="s">
        <v>77</v>
      </c>
      <c r="N44" s="2">
        <v>1</v>
      </c>
      <c r="O44" s="2">
        <v>2023</v>
      </c>
      <c r="P44" s="57">
        <v>44927</v>
      </c>
    </row>
    <row r="45" spans="1:16" x14ac:dyDescent="0.35">
      <c r="A45" s="2" t="s">
        <v>94</v>
      </c>
      <c r="B45" s="2">
        <v>1</v>
      </c>
      <c r="C45" s="2">
        <v>1</v>
      </c>
      <c r="D45" s="2">
        <v>1</v>
      </c>
      <c r="E45" s="2">
        <v>1</v>
      </c>
      <c r="F45" s="2">
        <v>1</v>
      </c>
      <c r="G45" s="2" t="s">
        <v>37</v>
      </c>
      <c r="H45" s="2" t="s">
        <v>74</v>
      </c>
      <c r="I45" s="2" t="s">
        <v>95</v>
      </c>
      <c r="J45" s="2">
        <v>750318</v>
      </c>
      <c r="K45" s="2" t="s">
        <v>76</v>
      </c>
      <c r="L45" s="2" t="s">
        <v>77</v>
      </c>
      <c r="M45" s="2" t="s">
        <v>77</v>
      </c>
      <c r="N45" s="2">
        <v>1</v>
      </c>
      <c r="O45" s="2">
        <v>2023</v>
      </c>
      <c r="P45" s="57">
        <v>44927</v>
      </c>
    </row>
    <row r="46" spans="1:16" x14ac:dyDescent="0.35">
      <c r="A46" s="2" t="s">
        <v>96</v>
      </c>
      <c r="B46" s="2">
        <v>1</v>
      </c>
      <c r="C46" s="2">
        <v>2</v>
      </c>
      <c r="D46" s="2">
        <v>2</v>
      </c>
      <c r="E46" s="2">
        <v>1</v>
      </c>
      <c r="F46" s="2">
        <v>1</v>
      </c>
      <c r="G46" s="2" t="s">
        <v>40</v>
      </c>
      <c r="H46" s="2" t="s">
        <v>74</v>
      </c>
      <c r="I46" s="2" t="s">
        <v>85</v>
      </c>
      <c r="J46" s="2">
        <v>555141</v>
      </c>
      <c r="K46" s="2" t="s">
        <v>76</v>
      </c>
      <c r="L46" s="2" t="s">
        <v>77</v>
      </c>
      <c r="M46" s="2" t="s">
        <v>77</v>
      </c>
      <c r="N46" s="2">
        <v>1</v>
      </c>
      <c r="O46" s="2">
        <v>2023</v>
      </c>
      <c r="P46" s="57">
        <v>44927</v>
      </c>
    </row>
    <row r="47" spans="1:16" x14ac:dyDescent="0.35">
      <c r="A47" s="2" t="s">
        <v>86</v>
      </c>
      <c r="B47" s="2">
        <v>1</v>
      </c>
      <c r="C47" s="2">
        <v>1</v>
      </c>
      <c r="D47" s="2">
        <v>1</v>
      </c>
      <c r="E47" s="2">
        <v>1</v>
      </c>
      <c r="F47" s="2">
        <v>1</v>
      </c>
      <c r="G47" s="2" t="s">
        <v>42</v>
      </c>
      <c r="H47" s="2" t="s">
        <v>87</v>
      </c>
      <c r="I47" s="2" t="s">
        <v>98</v>
      </c>
      <c r="J47" s="2">
        <v>710209</v>
      </c>
      <c r="K47" s="2" t="s">
        <v>76</v>
      </c>
      <c r="L47" s="2" t="s">
        <v>77</v>
      </c>
      <c r="M47" s="2" t="s">
        <v>77</v>
      </c>
      <c r="N47" s="2">
        <v>1</v>
      </c>
      <c r="O47" s="2">
        <v>2023</v>
      </c>
      <c r="P47" s="57">
        <v>44927</v>
      </c>
    </row>
    <row r="48" spans="1:16" x14ac:dyDescent="0.35">
      <c r="A48" s="2" t="s">
        <v>86</v>
      </c>
      <c r="B48" s="2">
        <v>6</v>
      </c>
      <c r="C48" s="2">
        <v>10</v>
      </c>
      <c r="D48" s="2">
        <v>15</v>
      </c>
      <c r="E48" s="2">
        <v>8</v>
      </c>
      <c r="F48" s="2">
        <v>5</v>
      </c>
      <c r="G48" s="2" t="s">
        <v>37</v>
      </c>
      <c r="H48" s="2" t="s">
        <v>87</v>
      </c>
      <c r="I48" s="2" t="s">
        <v>98</v>
      </c>
      <c r="J48" s="2">
        <v>710209</v>
      </c>
      <c r="K48" s="2" t="s">
        <v>76</v>
      </c>
      <c r="L48" s="2" t="s">
        <v>77</v>
      </c>
      <c r="M48" s="2" t="s">
        <v>77</v>
      </c>
      <c r="N48" s="2">
        <v>1</v>
      </c>
      <c r="O48" s="2">
        <v>2023</v>
      </c>
      <c r="P48" s="57">
        <v>44927</v>
      </c>
    </row>
    <row r="49" spans="1:16" x14ac:dyDescent="0.35">
      <c r="A49" s="2" t="s">
        <v>88</v>
      </c>
      <c r="B49" s="2">
        <v>2</v>
      </c>
      <c r="C49" s="2">
        <v>4</v>
      </c>
      <c r="D49" s="2">
        <v>4</v>
      </c>
      <c r="E49" s="2">
        <v>2</v>
      </c>
      <c r="F49" s="2">
        <v>1</v>
      </c>
      <c r="G49" s="2" t="s">
        <v>40</v>
      </c>
      <c r="H49" s="2" t="s">
        <v>74</v>
      </c>
      <c r="I49" s="2" t="s">
        <v>98</v>
      </c>
      <c r="J49" s="2">
        <v>710209</v>
      </c>
      <c r="K49" s="2" t="s">
        <v>76</v>
      </c>
      <c r="L49" s="2" t="s">
        <v>77</v>
      </c>
      <c r="M49" s="2" t="s">
        <v>77</v>
      </c>
      <c r="N49" s="2">
        <v>1</v>
      </c>
      <c r="O49" s="2">
        <v>2023</v>
      </c>
      <c r="P49" s="57">
        <v>44927</v>
      </c>
    </row>
    <row r="50" spans="1:16" x14ac:dyDescent="0.35">
      <c r="A50" s="2" t="s">
        <v>78</v>
      </c>
      <c r="B50" s="2">
        <v>2</v>
      </c>
      <c r="C50" s="2">
        <v>4</v>
      </c>
      <c r="D50" s="2">
        <v>4</v>
      </c>
      <c r="E50" s="2">
        <v>2</v>
      </c>
      <c r="F50" s="2">
        <v>1</v>
      </c>
      <c r="G50" s="2" t="s">
        <v>42</v>
      </c>
      <c r="H50" s="2" t="s">
        <v>74</v>
      </c>
      <c r="I50" s="2" t="s">
        <v>79</v>
      </c>
      <c r="J50" s="2">
        <v>710209</v>
      </c>
      <c r="K50" s="2" t="s">
        <v>76</v>
      </c>
      <c r="L50" s="2" t="s">
        <v>77</v>
      </c>
      <c r="M50" s="2" t="s">
        <v>77</v>
      </c>
      <c r="N50" s="2">
        <v>2</v>
      </c>
      <c r="O50" s="2">
        <v>2020</v>
      </c>
      <c r="P50" s="57">
        <v>43862</v>
      </c>
    </row>
    <row r="51" spans="1:16" x14ac:dyDescent="0.35">
      <c r="A51" s="2" t="s">
        <v>81</v>
      </c>
      <c r="B51" s="2">
        <v>5</v>
      </c>
      <c r="C51" s="2">
        <v>7</v>
      </c>
      <c r="D51" s="2">
        <v>9</v>
      </c>
      <c r="E51" s="2">
        <v>6</v>
      </c>
      <c r="F51" s="2">
        <v>1</v>
      </c>
      <c r="G51" s="2" t="s">
        <v>42</v>
      </c>
      <c r="H51" s="2" t="s">
        <v>74</v>
      </c>
      <c r="I51" s="2" t="s">
        <v>79</v>
      </c>
      <c r="J51" s="2">
        <v>710209</v>
      </c>
      <c r="K51" s="2" t="s">
        <v>76</v>
      </c>
      <c r="L51" s="2" t="s">
        <v>77</v>
      </c>
      <c r="M51" s="2" t="s">
        <v>77</v>
      </c>
      <c r="N51" s="2">
        <v>2</v>
      </c>
      <c r="O51" s="2">
        <v>2020</v>
      </c>
      <c r="P51" s="57">
        <v>43862</v>
      </c>
    </row>
    <row r="52" spans="1:16" x14ac:dyDescent="0.35">
      <c r="A52" s="2" t="s">
        <v>81</v>
      </c>
      <c r="B52" s="2">
        <v>2</v>
      </c>
      <c r="C52" s="2">
        <v>2</v>
      </c>
      <c r="D52" s="2">
        <v>2</v>
      </c>
      <c r="E52" s="2">
        <v>2</v>
      </c>
      <c r="F52" s="2">
        <v>2</v>
      </c>
      <c r="G52" s="2" t="s">
        <v>42</v>
      </c>
      <c r="H52" s="2" t="s">
        <v>74</v>
      </c>
      <c r="I52" s="2" t="s">
        <v>79</v>
      </c>
      <c r="J52" s="2">
        <v>710209</v>
      </c>
      <c r="K52" s="2" t="s">
        <v>76</v>
      </c>
      <c r="L52" s="2" t="s">
        <v>77</v>
      </c>
      <c r="M52" s="2" t="s">
        <v>77</v>
      </c>
      <c r="N52" s="2">
        <v>2</v>
      </c>
      <c r="O52" s="2">
        <v>2020</v>
      </c>
      <c r="P52" s="57">
        <v>43862</v>
      </c>
    </row>
    <row r="53" spans="1:16" x14ac:dyDescent="0.35">
      <c r="A53" s="2" t="s">
        <v>82</v>
      </c>
      <c r="B53" s="2">
        <v>2</v>
      </c>
      <c r="C53" s="2">
        <v>2</v>
      </c>
      <c r="D53" s="2">
        <v>2</v>
      </c>
      <c r="E53" s="2">
        <v>2</v>
      </c>
      <c r="F53" s="2">
        <v>2</v>
      </c>
      <c r="G53" s="2" t="s">
        <v>40</v>
      </c>
      <c r="H53" s="2" t="s">
        <v>83</v>
      </c>
      <c r="I53" s="2" t="s">
        <v>79</v>
      </c>
      <c r="J53" s="2">
        <v>710209</v>
      </c>
      <c r="K53" s="2" t="s">
        <v>76</v>
      </c>
      <c r="L53" s="2" t="s">
        <v>77</v>
      </c>
      <c r="M53" s="2" t="s">
        <v>77</v>
      </c>
      <c r="N53" s="2">
        <v>2</v>
      </c>
      <c r="O53" s="2">
        <v>2020</v>
      </c>
      <c r="P53" s="57">
        <v>43862</v>
      </c>
    </row>
    <row r="54" spans="1:16" x14ac:dyDescent="0.35">
      <c r="A54" s="2" t="s">
        <v>94</v>
      </c>
      <c r="B54" s="2">
        <v>3</v>
      </c>
      <c r="C54" s="2">
        <v>3</v>
      </c>
      <c r="D54" s="2">
        <v>3</v>
      </c>
      <c r="E54" s="2">
        <v>3</v>
      </c>
      <c r="F54" s="2">
        <v>1</v>
      </c>
      <c r="G54" s="2" t="s">
        <v>42</v>
      </c>
      <c r="H54" s="2" t="s">
        <v>74</v>
      </c>
      <c r="I54" s="2" t="s">
        <v>95</v>
      </c>
      <c r="J54" s="2">
        <v>750318</v>
      </c>
      <c r="K54" s="2" t="s">
        <v>76</v>
      </c>
      <c r="L54" s="2" t="s">
        <v>77</v>
      </c>
      <c r="M54" s="2" t="s">
        <v>77</v>
      </c>
      <c r="N54" s="2">
        <v>2</v>
      </c>
      <c r="O54" s="2">
        <v>2020</v>
      </c>
      <c r="P54" s="57">
        <v>43862</v>
      </c>
    </row>
    <row r="55" spans="1:16" x14ac:dyDescent="0.35">
      <c r="A55" s="2" t="s">
        <v>94</v>
      </c>
      <c r="B55" s="2">
        <v>2</v>
      </c>
      <c r="C55" s="2">
        <v>3</v>
      </c>
      <c r="D55" s="2">
        <v>3</v>
      </c>
      <c r="E55" s="2">
        <v>2</v>
      </c>
      <c r="F55" s="2">
        <v>2</v>
      </c>
      <c r="G55" s="2" t="s">
        <v>40</v>
      </c>
      <c r="H55" s="2" t="s">
        <v>74</v>
      </c>
      <c r="I55" s="2" t="s">
        <v>95</v>
      </c>
      <c r="J55" s="2">
        <v>750318</v>
      </c>
      <c r="K55" s="2" t="s">
        <v>76</v>
      </c>
      <c r="L55" s="2" t="s">
        <v>77</v>
      </c>
      <c r="M55" s="2" t="s">
        <v>77</v>
      </c>
      <c r="N55" s="2">
        <v>2</v>
      </c>
      <c r="O55" s="2">
        <v>2020</v>
      </c>
      <c r="P55" s="57">
        <v>43862</v>
      </c>
    </row>
    <row r="56" spans="1:16" x14ac:dyDescent="0.35">
      <c r="A56" s="2" t="s">
        <v>94</v>
      </c>
      <c r="B56" s="2">
        <v>4</v>
      </c>
      <c r="C56" s="2">
        <v>6</v>
      </c>
      <c r="D56" s="2">
        <v>6</v>
      </c>
      <c r="E56" s="2">
        <v>4</v>
      </c>
      <c r="F56" s="2">
        <v>4</v>
      </c>
      <c r="G56" s="2" t="s">
        <v>42</v>
      </c>
      <c r="H56" s="2" t="s">
        <v>74</v>
      </c>
      <c r="I56" s="2" t="s">
        <v>95</v>
      </c>
      <c r="J56" s="2">
        <v>750318</v>
      </c>
      <c r="K56" s="2" t="s">
        <v>76</v>
      </c>
      <c r="L56" s="2" t="s">
        <v>77</v>
      </c>
      <c r="M56" s="2" t="s">
        <v>77</v>
      </c>
      <c r="N56" s="2">
        <v>2</v>
      </c>
      <c r="O56" s="2">
        <v>2020</v>
      </c>
      <c r="P56" s="57">
        <v>43862</v>
      </c>
    </row>
    <row r="57" spans="1:16" x14ac:dyDescent="0.35">
      <c r="A57" s="2" t="s">
        <v>86</v>
      </c>
      <c r="B57" s="2">
        <v>2</v>
      </c>
      <c r="C57" s="2">
        <v>2</v>
      </c>
      <c r="D57" s="2">
        <v>3</v>
      </c>
      <c r="E57" s="2">
        <v>3</v>
      </c>
      <c r="F57" s="2">
        <v>2</v>
      </c>
      <c r="G57" s="2" t="s">
        <v>42</v>
      </c>
      <c r="H57" s="2" t="s">
        <v>87</v>
      </c>
      <c r="I57" s="2" t="s">
        <v>79</v>
      </c>
      <c r="J57" s="2">
        <v>710209</v>
      </c>
      <c r="K57" s="2" t="s">
        <v>76</v>
      </c>
      <c r="L57" s="2" t="s">
        <v>77</v>
      </c>
      <c r="M57" s="2" t="s">
        <v>77</v>
      </c>
      <c r="N57" s="2">
        <v>2</v>
      </c>
      <c r="O57" s="2">
        <v>2020</v>
      </c>
      <c r="P57" s="57">
        <v>43862</v>
      </c>
    </row>
    <row r="58" spans="1:16" x14ac:dyDescent="0.35">
      <c r="A58" s="2" t="s">
        <v>86</v>
      </c>
      <c r="B58" s="2">
        <v>1</v>
      </c>
      <c r="C58" s="2">
        <v>1</v>
      </c>
      <c r="D58" s="2">
        <v>1</v>
      </c>
      <c r="E58" s="2">
        <v>1</v>
      </c>
      <c r="F58" s="2">
        <v>1</v>
      </c>
      <c r="G58" s="2" t="s">
        <v>37</v>
      </c>
      <c r="H58" s="2" t="s">
        <v>87</v>
      </c>
      <c r="I58" s="2" t="s">
        <v>79</v>
      </c>
      <c r="J58" s="2">
        <v>710209</v>
      </c>
      <c r="K58" s="2" t="s">
        <v>76</v>
      </c>
      <c r="L58" s="2" t="s">
        <v>77</v>
      </c>
      <c r="M58" s="2" t="s">
        <v>77</v>
      </c>
      <c r="N58" s="2">
        <v>2</v>
      </c>
      <c r="O58" s="2">
        <v>2020</v>
      </c>
      <c r="P58" s="57">
        <v>43862</v>
      </c>
    </row>
    <row r="59" spans="1:16" x14ac:dyDescent="0.35">
      <c r="A59" s="2" t="s">
        <v>99</v>
      </c>
      <c r="B59" s="2">
        <v>1</v>
      </c>
      <c r="C59" s="2">
        <v>2</v>
      </c>
      <c r="D59" s="2">
        <v>2</v>
      </c>
      <c r="E59" s="2">
        <v>1</v>
      </c>
      <c r="F59" s="2">
        <v>1</v>
      </c>
      <c r="G59" s="2" t="s">
        <v>37</v>
      </c>
      <c r="H59" s="2" t="s">
        <v>74</v>
      </c>
      <c r="I59" s="2" t="s">
        <v>100</v>
      </c>
      <c r="J59" s="2">
        <v>758287</v>
      </c>
      <c r="K59" s="2" t="s">
        <v>76</v>
      </c>
      <c r="L59" s="2" t="s">
        <v>77</v>
      </c>
      <c r="M59" s="2" t="s">
        <v>77</v>
      </c>
      <c r="N59" s="2">
        <v>2</v>
      </c>
      <c r="O59" s="2">
        <v>2021</v>
      </c>
      <c r="P59" s="57">
        <v>44228</v>
      </c>
    </row>
    <row r="60" spans="1:16" x14ac:dyDescent="0.35">
      <c r="A60" s="2" t="s">
        <v>80</v>
      </c>
      <c r="B60" s="2">
        <v>1</v>
      </c>
      <c r="C60" s="2">
        <v>2</v>
      </c>
      <c r="D60" s="2">
        <v>2</v>
      </c>
      <c r="E60" s="2">
        <v>1</v>
      </c>
      <c r="F60" s="2">
        <v>1</v>
      </c>
      <c r="G60" s="2" t="s">
        <v>37</v>
      </c>
      <c r="H60" s="2" t="s">
        <v>74</v>
      </c>
      <c r="I60" s="2" t="s">
        <v>79</v>
      </c>
      <c r="J60" s="2">
        <v>710209</v>
      </c>
      <c r="K60" s="2" t="s">
        <v>76</v>
      </c>
      <c r="L60" s="2" t="s">
        <v>77</v>
      </c>
      <c r="M60" s="2" t="s">
        <v>77</v>
      </c>
      <c r="N60" s="2">
        <v>2</v>
      </c>
      <c r="O60" s="2">
        <v>2021</v>
      </c>
      <c r="P60" s="57">
        <v>44228</v>
      </c>
    </row>
    <row r="61" spans="1:16" x14ac:dyDescent="0.35">
      <c r="A61" s="2" t="s">
        <v>81</v>
      </c>
      <c r="B61" s="2">
        <v>1</v>
      </c>
      <c r="C61" s="2">
        <v>1</v>
      </c>
      <c r="D61" s="2">
        <v>1</v>
      </c>
      <c r="E61" s="2">
        <v>1</v>
      </c>
      <c r="F61" s="2">
        <v>1</v>
      </c>
      <c r="G61" s="2" t="s">
        <v>37</v>
      </c>
      <c r="H61" s="2" t="s">
        <v>74</v>
      </c>
      <c r="I61" s="2" t="s">
        <v>79</v>
      </c>
      <c r="J61" s="2">
        <v>710209</v>
      </c>
      <c r="K61" s="2" t="s">
        <v>76</v>
      </c>
      <c r="L61" s="2" t="s">
        <v>77</v>
      </c>
      <c r="M61" s="2" t="s">
        <v>77</v>
      </c>
      <c r="N61" s="2">
        <v>2</v>
      </c>
      <c r="O61" s="2">
        <v>2021</v>
      </c>
      <c r="P61" s="57">
        <v>44228</v>
      </c>
    </row>
    <row r="62" spans="1:16" x14ac:dyDescent="0.35">
      <c r="A62" s="2" t="s">
        <v>81</v>
      </c>
      <c r="B62" s="2">
        <v>7</v>
      </c>
      <c r="C62" s="2">
        <v>7</v>
      </c>
      <c r="D62" s="2">
        <v>7</v>
      </c>
      <c r="E62" s="2">
        <v>7</v>
      </c>
      <c r="F62" s="2">
        <v>1</v>
      </c>
      <c r="G62" s="2" t="s">
        <v>37</v>
      </c>
      <c r="H62" s="2" t="s">
        <v>74</v>
      </c>
      <c r="I62" s="2" t="s">
        <v>79</v>
      </c>
      <c r="J62" s="2">
        <v>710209</v>
      </c>
      <c r="K62" s="2" t="s">
        <v>76</v>
      </c>
      <c r="L62" s="2" t="s">
        <v>77</v>
      </c>
      <c r="M62" s="2" t="s">
        <v>77</v>
      </c>
      <c r="N62" s="2">
        <v>2</v>
      </c>
      <c r="O62" s="2">
        <v>2021</v>
      </c>
      <c r="P62" s="57">
        <v>44228</v>
      </c>
    </row>
    <row r="63" spans="1:16" x14ac:dyDescent="0.35">
      <c r="A63" s="2" t="s">
        <v>82</v>
      </c>
      <c r="B63" s="2">
        <v>1</v>
      </c>
      <c r="C63" s="2">
        <v>1</v>
      </c>
      <c r="D63" s="2">
        <v>1</v>
      </c>
      <c r="E63" s="2">
        <v>1</v>
      </c>
      <c r="F63" s="2">
        <v>1</v>
      </c>
      <c r="G63" s="2" t="s">
        <v>40</v>
      </c>
      <c r="H63" s="2" t="s">
        <v>83</v>
      </c>
      <c r="I63" s="2" t="s">
        <v>79</v>
      </c>
      <c r="J63" s="2">
        <v>710209</v>
      </c>
      <c r="K63" s="2" t="s">
        <v>76</v>
      </c>
      <c r="L63" s="2" t="s">
        <v>77</v>
      </c>
      <c r="M63" s="2" t="s">
        <v>77</v>
      </c>
      <c r="N63" s="2">
        <v>2</v>
      </c>
      <c r="O63" s="2">
        <v>2021</v>
      </c>
      <c r="P63" s="57">
        <v>44228</v>
      </c>
    </row>
    <row r="64" spans="1:16" x14ac:dyDescent="0.35">
      <c r="A64" s="2" t="s">
        <v>82</v>
      </c>
      <c r="B64" s="2">
        <v>1</v>
      </c>
      <c r="C64" s="2">
        <v>1</v>
      </c>
      <c r="D64" s="2">
        <v>1</v>
      </c>
      <c r="E64" s="2">
        <v>1</v>
      </c>
      <c r="F64" s="2">
        <v>1</v>
      </c>
      <c r="G64" s="2" t="s">
        <v>40</v>
      </c>
      <c r="H64" s="2" t="s">
        <v>83</v>
      </c>
      <c r="I64" s="2" t="s">
        <v>79</v>
      </c>
      <c r="J64" s="2">
        <v>710209</v>
      </c>
      <c r="K64" s="2" t="s">
        <v>76</v>
      </c>
      <c r="L64" s="2" t="s">
        <v>77</v>
      </c>
      <c r="M64" s="2" t="s">
        <v>77</v>
      </c>
      <c r="N64" s="2">
        <v>2</v>
      </c>
      <c r="O64" s="2">
        <v>2021</v>
      </c>
      <c r="P64" s="57">
        <v>44228</v>
      </c>
    </row>
    <row r="65" spans="1:16" x14ac:dyDescent="0.35">
      <c r="A65" s="2" t="s">
        <v>82</v>
      </c>
      <c r="B65" s="2">
        <v>2</v>
      </c>
      <c r="C65" s="2">
        <v>2</v>
      </c>
      <c r="D65" s="2">
        <v>2</v>
      </c>
      <c r="E65" s="2">
        <v>2</v>
      </c>
      <c r="F65" s="2">
        <v>1</v>
      </c>
      <c r="G65" s="2" t="s">
        <v>37</v>
      </c>
      <c r="H65" s="2" t="s">
        <v>83</v>
      </c>
      <c r="I65" s="2" t="s">
        <v>79</v>
      </c>
      <c r="J65" s="2">
        <v>710209</v>
      </c>
      <c r="K65" s="2" t="s">
        <v>76</v>
      </c>
      <c r="L65" s="2" t="s">
        <v>77</v>
      </c>
      <c r="M65" s="2" t="s">
        <v>77</v>
      </c>
      <c r="N65" s="2">
        <v>2</v>
      </c>
      <c r="O65" s="2">
        <v>2021</v>
      </c>
      <c r="P65" s="57">
        <v>44228</v>
      </c>
    </row>
    <row r="66" spans="1:16" x14ac:dyDescent="0.35">
      <c r="A66" s="2" t="s">
        <v>94</v>
      </c>
      <c r="B66" s="2">
        <v>1</v>
      </c>
      <c r="C66" s="2">
        <v>1</v>
      </c>
      <c r="D66" s="2">
        <v>1</v>
      </c>
      <c r="E66" s="2">
        <v>1</v>
      </c>
      <c r="F66" s="2">
        <v>1</v>
      </c>
      <c r="G66" s="2" t="s">
        <v>42</v>
      </c>
      <c r="H66" s="2" t="s">
        <v>74</v>
      </c>
      <c r="I66" s="2" t="s">
        <v>95</v>
      </c>
      <c r="J66" s="2">
        <v>750318</v>
      </c>
      <c r="K66" s="2" t="s">
        <v>76</v>
      </c>
      <c r="L66" s="2" t="s">
        <v>77</v>
      </c>
      <c r="M66" s="2" t="s">
        <v>101</v>
      </c>
      <c r="N66" s="2">
        <v>2</v>
      </c>
      <c r="O66" s="2">
        <v>2021</v>
      </c>
      <c r="P66" s="57">
        <v>44228</v>
      </c>
    </row>
    <row r="67" spans="1:16" x14ac:dyDescent="0.35">
      <c r="A67" s="2" t="s">
        <v>94</v>
      </c>
      <c r="B67" s="2">
        <v>1</v>
      </c>
      <c r="C67" s="2">
        <v>2</v>
      </c>
      <c r="D67" s="2">
        <v>2</v>
      </c>
      <c r="E67" s="2">
        <v>1</v>
      </c>
      <c r="F67" s="2">
        <v>1</v>
      </c>
      <c r="G67" s="2" t="s">
        <v>37</v>
      </c>
      <c r="H67" s="2" t="s">
        <v>74</v>
      </c>
      <c r="I67" s="2" t="s">
        <v>95</v>
      </c>
      <c r="J67" s="2">
        <v>750318</v>
      </c>
      <c r="K67" s="2" t="s">
        <v>76</v>
      </c>
      <c r="L67" s="2" t="s">
        <v>77</v>
      </c>
      <c r="M67" s="2" t="s">
        <v>77</v>
      </c>
      <c r="N67" s="2">
        <v>2</v>
      </c>
      <c r="O67" s="2">
        <v>2021</v>
      </c>
      <c r="P67" s="57">
        <v>44228</v>
      </c>
    </row>
    <row r="68" spans="1:16" x14ac:dyDescent="0.35">
      <c r="A68" s="2" t="s">
        <v>94</v>
      </c>
      <c r="B68" s="2">
        <v>1</v>
      </c>
      <c r="C68" s="2">
        <v>1</v>
      </c>
      <c r="D68" s="2">
        <v>1</v>
      </c>
      <c r="E68" s="2">
        <v>1</v>
      </c>
      <c r="F68" s="2">
        <v>1</v>
      </c>
      <c r="G68" s="2" t="s">
        <v>37</v>
      </c>
      <c r="H68" s="2" t="s">
        <v>74</v>
      </c>
      <c r="I68" s="2" t="s">
        <v>95</v>
      </c>
      <c r="J68" s="2">
        <v>750318</v>
      </c>
      <c r="K68" s="2" t="s">
        <v>76</v>
      </c>
      <c r="L68" s="2" t="s">
        <v>77</v>
      </c>
      <c r="M68" s="2" t="s">
        <v>77</v>
      </c>
      <c r="N68" s="2">
        <v>2</v>
      </c>
      <c r="O68" s="2">
        <v>2021</v>
      </c>
      <c r="P68" s="57">
        <v>44228</v>
      </c>
    </row>
    <row r="69" spans="1:16" x14ac:dyDescent="0.35">
      <c r="A69" s="2" t="s">
        <v>94</v>
      </c>
      <c r="B69" s="2">
        <v>1</v>
      </c>
      <c r="C69" s="2">
        <v>2</v>
      </c>
      <c r="D69" s="2">
        <v>2</v>
      </c>
      <c r="E69" s="2">
        <v>1</v>
      </c>
      <c r="F69" s="2">
        <v>1</v>
      </c>
      <c r="G69" s="2" t="s">
        <v>40</v>
      </c>
      <c r="H69" s="2" t="s">
        <v>74</v>
      </c>
      <c r="I69" s="2" t="s">
        <v>95</v>
      </c>
      <c r="J69" s="2">
        <v>750318</v>
      </c>
      <c r="K69" s="2" t="s">
        <v>76</v>
      </c>
      <c r="L69" s="2" t="s">
        <v>77</v>
      </c>
      <c r="M69" s="2" t="s">
        <v>77</v>
      </c>
      <c r="N69" s="2">
        <v>2</v>
      </c>
      <c r="O69" s="2">
        <v>2021</v>
      </c>
      <c r="P69" s="57">
        <v>44228</v>
      </c>
    </row>
    <row r="70" spans="1:16" x14ac:dyDescent="0.35">
      <c r="A70" s="2" t="s">
        <v>84</v>
      </c>
      <c r="B70" s="2">
        <v>1</v>
      </c>
      <c r="C70" s="2">
        <v>1</v>
      </c>
      <c r="D70" s="2">
        <v>1</v>
      </c>
      <c r="E70" s="2">
        <v>1</v>
      </c>
      <c r="F70" s="2">
        <v>1</v>
      </c>
      <c r="G70" s="2" t="s">
        <v>42</v>
      </c>
      <c r="H70" s="2" t="s">
        <v>74</v>
      </c>
      <c r="I70" s="2" t="s">
        <v>84</v>
      </c>
      <c r="J70" s="2">
        <v>750316</v>
      </c>
      <c r="K70" s="2" t="s">
        <v>76</v>
      </c>
      <c r="L70" s="2" t="s">
        <v>77</v>
      </c>
      <c r="M70" s="2" t="s">
        <v>77</v>
      </c>
      <c r="N70" s="2">
        <v>2</v>
      </c>
      <c r="O70" s="2">
        <v>2021</v>
      </c>
      <c r="P70" s="57">
        <v>44228</v>
      </c>
    </row>
    <row r="71" spans="1:16" x14ac:dyDescent="0.35">
      <c r="A71" s="2" t="s">
        <v>84</v>
      </c>
      <c r="B71" s="2">
        <v>1</v>
      </c>
      <c r="C71" s="2">
        <v>1</v>
      </c>
      <c r="D71" s="2">
        <v>2</v>
      </c>
      <c r="E71" s="2">
        <v>2</v>
      </c>
      <c r="F71" s="2">
        <v>1</v>
      </c>
      <c r="G71" s="2" t="s">
        <v>42</v>
      </c>
      <c r="H71" s="2" t="s">
        <v>74</v>
      </c>
      <c r="I71" s="2" t="s">
        <v>85</v>
      </c>
      <c r="J71" s="2">
        <v>555141</v>
      </c>
      <c r="K71" s="2" t="s">
        <v>76</v>
      </c>
      <c r="L71" s="2" t="s">
        <v>77</v>
      </c>
      <c r="M71" s="2" t="s">
        <v>77</v>
      </c>
      <c r="N71" s="2">
        <v>2</v>
      </c>
      <c r="O71" s="2">
        <v>2021</v>
      </c>
      <c r="P71" s="57">
        <v>44228</v>
      </c>
    </row>
    <row r="72" spans="1:16" x14ac:dyDescent="0.35">
      <c r="A72" s="2" t="s">
        <v>86</v>
      </c>
      <c r="B72" s="2">
        <v>1</v>
      </c>
      <c r="C72" s="2">
        <v>1</v>
      </c>
      <c r="D72" s="2">
        <v>1</v>
      </c>
      <c r="E72" s="2">
        <v>1</v>
      </c>
      <c r="F72" s="2">
        <v>1</v>
      </c>
      <c r="G72" s="2" t="s">
        <v>42</v>
      </c>
      <c r="H72" s="2" t="s">
        <v>87</v>
      </c>
      <c r="I72" s="2" t="s">
        <v>79</v>
      </c>
      <c r="J72" s="2">
        <v>710209</v>
      </c>
      <c r="K72" s="2" t="s">
        <v>76</v>
      </c>
      <c r="L72" s="2" t="s">
        <v>77</v>
      </c>
      <c r="M72" s="2" t="s">
        <v>77</v>
      </c>
      <c r="N72" s="2">
        <v>2</v>
      </c>
      <c r="O72" s="2">
        <v>2021</v>
      </c>
      <c r="P72" s="57">
        <v>44228</v>
      </c>
    </row>
    <row r="73" spans="1:16" x14ac:dyDescent="0.35">
      <c r="A73" s="2" t="s">
        <v>86</v>
      </c>
      <c r="B73" s="2">
        <v>1</v>
      </c>
      <c r="C73" s="2">
        <v>2</v>
      </c>
      <c r="D73" s="2">
        <v>2</v>
      </c>
      <c r="E73" s="2">
        <v>1</v>
      </c>
      <c r="F73" s="2">
        <v>1</v>
      </c>
      <c r="G73" s="2" t="s">
        <v>37</v>
      </c>
      <c r="H73" s="2" t="s">
        <v>87</v>
      </c>
      <c r="I73" s="2" t="s">
        <v>79</v>
      </c>
      <c r="J73" s="2">
        <v>710209</v>
      </c>
      <c r="K73" s="2" t="s">
        <v>76</v>
      </c>
      <c r="L73" s="2" t="s">
        <v>77</v>
      </c>
      <c r="M73" s="2" t="s">
        <v>77</v>
      </c>
      <c r="N73" s="2">
        <v>2</v>
      </c>
      <c r="O73" s="2">
        <v>2021</v>
      </c>
      <c r="P73" s="57">
        <v>44228</v>
      </c>
    </row>
    <row r="74" spans="1:16" x14ac:dyDescent="0.35">
      <c r="A74" s="2" t="s">
        <v>86</v>
      </c>
      <c r="B74" s="2">
        <v>1</v>
      </c>
      <c r="C74" s="2">
        <v>1</v>
      </c>
      <c r="D74" s="2">
        <v>1</v>
      </c>
      <c r="E74" s="2">
        <v>1</v>
      </c>
      <c r="F74" s="2">
        <v>1</v>
      </c>
      <c r="G74" s="2" t="s">
        <v>37</v>
      </c>
      <c r="H74" s="2" t="s">
        <v>87</v>
      </c>
      <c r="I74" s="2" t="s">
        <v>79</v>
      </c>
      <c r="J74" s="2">
        <v>710209</v>
      </c>
      <c r="K74" s="2" t="s">
        <v>76</v>
      </c>
      <c r="L74" s="2" t="s">
        <v>77</v>
      </c>
      <c r="M74" s="2" t="s">
        <v>77</v>
      </c>
      <c r="N74" s="2">
        <v>2</v>
      </c>
      <c r="O74" s="2">
        <v>2021</v>
      </c>
      <c r="P74" s="57">
        <v>44228</v>
      </c>
    </row>
    <row r="75" spans="1:16" x14ac:dyDescent="0.35">
      <c r="A75" s="2" t="s">
        <v>88</v>
      </c>
      <c r="B75" s="2">
        <v>1</v>
      </c>
      <c r="C75" s="2">
        <v>2</v>
      </c>
      <c r="D75" s="2">
        <v>2</v>
      </c>
      <c r="E75" s="2">
        <v>1</v>
      </c>
      <c r="F75" s="2">
        <v>1</v>
      </c>
      <c r="G75" s="2" t="s">
        <v>40</v>
      </c>
      <c r="H75" s="2" t="s">
        <v>74</v>
      </c>
      <c r="I75" s="2" t="s">
        <v>79</v>
      </c>
      <c r="J75" s="2">
        <v>710209</v>
      </c>
      <c r="K75" s="2" t="s">
        <v>76</v>
      </c>
      <c r="L75" s="2" t="s">
        <v>77</v>
      </c>
      <c r="M75" s="2" t="s">
        <v>77</v>
      </c>
      <c r="N75" s="2">
        <v>2</v>
      </c>
      <c r="O75" s="2">
        <v>2021</v>
      </c>
      <c r="P75" s="57">
        <v>44228</v>
      </c>
    </row>
    <row r="76" spans="1:16" x14ac:dyDescent="0.35">
      <c r="A76" s="2" t="s">
        <v>78</v>
      </c>
      <c r="B76" s="2">
        <v>5</v>
      </c>
      <c r="C76" s="2">
        <v>10</v>
      </c>
      <c r="D76" s="2">
        <v>10</v>
      </c>
      <c r="E76" s="2">
        <v>5</v>
      </c>
      <c r="F76" s="2">
        <v>2</v>
      </c>
      <c r="G76" s="2" t="s">
        <v>37</v>
      </c>
      <c r="H76" s="2" t="s">
        <v>74</v>
      </c>
      <c r="I76" s="2" t="s">
        <v>93</v>
      </c>
      <c r="J76" s="2">
        <v>710209</v>
      </c>
      <c r="K76" s="2" t="s">
        <v>76</v>
      </c>
      <c r="L76" s="2" t="s">
        <v>77</v>
      </c>
      <c r="M76" s="2" t="s">
        <v>77</v>
      </c>
      <c r="N76" s="2">
        <v>2</v>
      </c>
      <c r="O76" s="2">
        <v>2022</v>
      </c>
      <c r="P76" s="57">
        <v>44593</v>
      </c>
    </row>
    <row r="77" spans="1:16" x14ac:dyDescent="0.35">
      <c r="A77" s="2" t="s">
        <v>78</v>
      </c>
      <c r="B77" s="2">
        <v>1</v>
      </c>
      <c r="C77" s="2">
        <v>2</v>
      </c>
      <c r="D77" s="2">
        <v>2</v>
      </c>
      <c r="E77" s="2">
        <v>1</v>
      </c>
      <c r="F77" s="2">
        <v>1</v>
      </c>
      <c r="G77" s="2" t="s">
        <v>42</v>
      </c>
      <c r="H77" s="2" t="s">
        <v>74</v>
      </c>
      <c r="I77" s="2" t="s">
        <v>93</v>
      </c>
      <c r="J77" s="2">
        <v>710209</v>
      </c>
      <c r="K77" s="2" t="s">
        <v>76</v>
      </c>
      <c r="L77" s="2" t="s">
        <v>77</v>
      </c>
      <c r="M77" s="2" t="s">
        <v>77</v>
      </c>
      <c r="N77" s="2">
        <v>2</v>
      </c>
      <c r="O77" s="2">
        <v>2022</v>
      </c>
      <c r="P77" s="57">
        <v>44593</v>
      </c>
    </row>
    <row r="78" spans="1:16" x14ac:dyDescent="0.35">
      <c r="A78" s="2" t="s">
        <v>80</v>
      </c>
      <c r="B78" s="2">
        <v>1</v>
      </c>
      <c r="C78" s="2">
        <v>1</v>
      </c>
      <c r="D78" s="2">
        <v>1</v>
      </c>
      <c r="E78" s="2">
        <v>1</v>
      </c>
      <c r="F78" s="2">
        <v>1</v>
      </c>
      <c r="G78" s="2" t="s">
        <v>40</v>
      </c>
      <c r="H78" s="2" t="s">
        <v>74</v>
      </c>
      <c r="I78" s="2" t="s">
        <v>93</v>
      </c>
      <c r="J78" s="2">
        <v>710209</v>
      </c>
      <c r="K78" s="2" t="s">
        <v>76</v>
      </c>
      <c r="L78" s="2" t="s">
        <v>77</v>
      </c>
      <c r="M78" s="2" t="s">
        <v>77</v>
      </c>
      <c r="N78" s="2">
        <v>2</v>
      </c>
      <c r="O78" s="2">
        <v>2022</v>
      </c>
      <c r="P78" s="57">
        <v>44593</v>
      </c>
    </row>
    <row r="79" spans="1:16" x14ac:dyDescent="0.35">
      <c r="A79" s="2" t="s">
        <v>80</v>
      </c>
      <c r="B79" s="2">
        <v>1</v>
      </c>
      <c r="C79" s="2">
        <v>1</v>
      </c>
      <c r="D79" s="2">
        <v>1</v>
      </c>
      <c r="E79" s="2">
        <v>1</v>
      </c>
      <c r="F79" s="2">
        <v>1</v>
      </c>
      <c r="G79" s="2" t="s">
        <v>42</v>
      </c>
      <c r="H79" s="2" t="s">
        <v>74</v>
      </c>
      <c r="I79" s="2" t="s">
        <v>93</v>
      </c>
      <c r="J79" s="2">
        <v>710209</v>
      </c>
      <c r="K79" s="2" t="s">
        <v>76</v>
      </c>
      <c r="L79" s="2" t="s">
        <v>77</v>
      </c>
      <c r="M79" s="2" t="s">
        <v>77</v>
      </c>
      <c r="N79" s="2">
        <v>2</v>
      </c>
      <c r="O79" s="2">
        <v>2022</v>
      </c>
      <c r="P79" s="57">
        <v>44593</v>
      </c>
    </row>
    <row r="80" spans="1:16" x14ac:dyDescent="0.35">
      <c r="A80" s="2" t="s">
        <v>92</v>
      </c>
      <c r="B80" s="2">
        <v>1</v>
      </c>
      <c r="C80" s="2">
        <v>1</v>
      </c>
      <c r="D80" s="2">
        <v>1</v>
      </c>
      <c r="E80" s="2">
        <v>1</v>
      </c>
      <c r="F80" s="2">
        <v>1</v>
      </c>
      <c r="G80" s="2" t="s">
        <v>37</v>
      </c>
      <c r="H80" s="2" t="s">
        <v>74</v>
      </c>
      <c r="I80" s="2" t="s">
        <v>93</v>
      </c>
      <c r="J80" s="2">
        <v>710209</v>
      </c>
      <c r="K80" s="2" t="s">
        <v>76</v>
      </c>
      <c r="L80" s="2" t="s">
        <v>77</v>
      </c>
      <c r="M80" s="2" t="s">
        <v>77</v>
      </c>
      <c r="N80" s="2">
        <v>2</v>
      </c>
      <c r="O80" s="2">
        <v>2022</v>
      </c>
      <c r="P80" s="57">
        <v>44593</v>
      </c>
    </row>
    <row r="81" spans="1:16" x14ac:dyDescent="0.35">
      <c r="A81" s="2" t="s">
        <v>92</v>
      </c>
      <c r="B81" s="2">
        <v>1</v>
      </c>
      <c r="C81" s="2">
        <v>2</v>
      </c>
      <c r="D81" s="2">
        <v>2</v>
      </c>
      <c r="E81" s="2">
        <v>1</v>
      </c>
      <c r="F81" s="2">
        <v>1</v>
      </c>
      <c r="G81" s="2" t="s">
        <v>42</v>
      </c>
      <c r="H81" s="2" t="s">
        <v>74</v>
      </c>
      <c r="I81" s="2" t="s">
        <v>93</v>
      </c>
      <c r="J81" s="2">
        <v>710209</v>
      </c>
      <c r="K81" s="2" t="s">
        <v>76</v>
      </c>
      <c r="L81" s="2" t="s">
        <v>77</v>
      </c>
      <c r="M81" s="2" t="s">
        <v>77</v>
      </c>
      <c r="N81" s="2">
        <v>2</v>
      </c>
      <c r="O81" s="2">
        <v>2022</v>
      </c>
      <c r="P81" s="57">
        <v>44593</v>
      </c>
    </row>
    <row r="82" spans="1:16" x14ac:dyDescent="0.35">
      <c r="A82" s="2" t="s">
        <v>81</v>
      </c>
      <c r="B82" s="2">
        <v>1</v>
      </c>
      <c r="C82" s="2">
        <v>2</v>
      </c>
      <c r="D82" s="2">
        <v>2</v>
      </c>
      <c r="E82" s="2">
        <v>1</v>
      </c>
      <c r="F82" s="2">
        <v>1</v>
      </c>
      <c r="G82" s="2" t="s">
        <v>42</v>
      </c>
      <c r="H82" s="2" t="s">
        <v>74</v>
      </c>
      <c r="I82" s="2" t="s">
        <v>93</v>
      </c>
      <c r="J82" s="2">
        <v>710209</v>
      </c>
      <c r="K82" s="2" t="s">
        <v>76</v>
      </c>
      <c r="L82" s="2" t="s">
        <v>77</v>
      </c>
      <c r="M82" s="2" t="s">
        <v>77</v>
      </c>
      <c r="N82" s="2">
        <v>2</v>
      </c>
      <c r="O82" s="2">
        <v>2022</v>
      </c>
      <c r="P82" s="57">
        <v>44593</v>
      </c>
    </row>
    <row r="83" spans="1:16" x14ac:dyDescent="0.35">
      <c r="A83" s="2" t="s">
        <v>81</v>
      </c>
      <c r="B83" s="2">
        <v>1</v>
      </c>
      <c r="C83" s="2">
        <v>1</v>
      </c>
      <c r="D83" s="2">
        <v>1</v>
      </c>
      <c r="E83" s="2">
        <v>1</v>
      </c>
      <c r="F83" s="2">
        <v>1</v>
      </c>
      <c r="G83" s="2" t="s">
        <v>42</v>
      </c>
      <c r="H83" s="2" t="s">
        <v>74</v>
      </c>
      <c r="I83" s="2" t="s">
        <v>93</v>
      </c>
      <c r="J83" s="2">
        <v>710209</v>
      </c>
      <c r="K83" s="2" t="s">
        <v>76</v>
      </c>
      <c r="L83" s="2" t="s">
        <v>77</v>
      </c>
      <c r="M83" s="2" t="s">
        <v>77</v>
      </c>
      <c r="N83" s="2">
        <v>2</v>
      </c>
      <c r="O83" s="2">
        <v>2022</v>
      </c>
      <c r="P83" s="57">
        <v>44593</v>
      </c>
    </row>
    <row r="84" spans="1:16" x14ac:dyDescent="0.35">
      <c r="A84" s="2" t="s">
        <v>82</v>
      </c>
      <c r="B84" s="2">
        <v>1</v>
      </c>
      <c r="C84" s="2">
        <v>1</v>
      </c>
      <c r="D84" s="2">
        <v>1</v>
      </c>
      <c r="E84" s="2">
        <v>1</v>
      </c>
      <c r="F84" s="2">
        <v>1</v>
      </c>
      <c r="G84" s="2" t="s">
        <v>42</v>
      </c>
      <c r="H84" s="2" t="s">
        <v>83</v>
      </c>
      <c r="I84" s="2" t="s">
        <v>85</v>
      </c>
      <c r="J84" s="2">
        <v>555141</v>
      </c>
      <c r="K84" s="2" t="s">
        <v>76</v>
      </c>
      <c r="L84" s="2" t="s">
        <v>77</v>
      </c>
      <c r="M84" s="2" t="s">
        <v>77</v>
      </c>
      <c r="N84" s="2">
        <v>2</v>
      </c>
      <c r="O84" s="2">
        <v>2022</v>
      </c>
      <c r="P84" s="57">
        <v>44593</v>
      </c>
    </row>
    <row r="85" spans="1:16" x14ac:dyDescent="0.35">
      <c r="A85" s="2" t="s">
        <v>94</v>
      </c>
      <c r="B85" s="2">
        <v>1</v>
      </c>
      <c r="C85" s="2">
        <v>1</v>
      </c>
      <c r="D85" s="2">
        <v>1</v>
      </c>
      <c r="E85" s="2">
        <v>1</v>
      </c>
      <c r="F85" s="2">
        <v>1</v>
      </c>
      <c r="G85" s="2" t="s">
        <v>37</v>
      </c>
      <c r="H85" s="2" t="s">
        <v>74</v>
      </c>
      <c r="I85" s="2" t="s">
        <v>95</v>
      </c>
      <c r="J85" s="2">
        <v>750318</v>
      </c>
      <c r="K85" s="2" t="s">
        <v>76</v>
      </c>
      <c r="L85" s="2" t="s">
        <v>77</v>
      </c>
      <c r="M85" s="2" t="s">
        <v>77</v>
      </c>
      <c r="N85" s="2">
        <v>2</v>
      </c>
      <c r="O85" s="2">
        <v>2022</v>
      </c>
      <c r="P85" s="57">
        <v>44593</v>
      </c>
    </row>
    <row r="86" spans="1:16" x14ac:dyDescent="0.35">
      <c r="A86" s="2" t="s">
        <v>88</v>
      </c>
      <c r="B86" s="2">
        <v>1</v>
      </c>
      <c r="C86" s="2">
        <v>1</v>
      </c>
      <c r="D86" s="2">
        <v>1</v>
      </c>
      <c r="E86" s="2">
        <v>1</v>
      </c>
      <c r="F86" s="2">
        <v>1</v>
      </c>
      <c r="G86" s="2" t="s">
        <v>42</v>
      </c>
      <c r="H86" s="2" t="s">
        <v>74</v>
      </c>
      <c r="I86" s="2" t="s">
        <v>93</v>
      </c>
      <c r="J86" s="2">
        <v>710209</v>
      </c>
      <c r="K86" s="2" t="s">
        <v>76</v>
      </c>
      <c r="L86" s="2" t="s">
        <v>77</v>
      </c>
      <c r="M86" s="2" t="s">
        <v>77</v>
      </c>
      <c r="N86" s="2">
        <v>2</v>
      </c>
      <c r="O86" s="2">
        <v>2022</v>
      </c>
      <c r="P86" s="57">
        <v>44593</v>
      </c>
    </row>
    <row r="87" spans="1:16" x14ac:dyDescent="0.35">
      <c r="A87" s="2" t="s">
        <v>88</v>
      </c>
      <c r="B87" s="2">
        <v>1</v>
      </c>
      <c r="C87" s="2">
        <v>2</v>
      </c>
      <c r="D87" s="2">
        <v>2</v>
      </c>
      <c r="E87" s="2">
        <v>1</v>
      </c>
      <c r="F87" s="2">
        <v>1</v>
      </c>
      <c r="G87" s="2" t="s">
        <v>40</v>
      </c>
      <c r="H87" s="2" t="s">
        <v>74</v>
      </c>
      <c r="I87" s="2" t="s">
        <v>93</v>
      </c>
      <c r="J87" s="2">
        <v>710209</v>
      </c>
      <c r="K87" s="2" t="s">
        <v>76</v>
      </c>
      <c r="L87" s="2" t="s">
        <v>77</v>
      </c>
      <c r="M87" s="2" t="s">
        <v>77</v>
      </c>
      <c r="N87" s="2">
        <v>2</v>
      </c>
      <c r="O87" s="2">
        <v>2022</v>
      </c>
      <c r="P87" s="57">
        <v>44593</v>
      </c>
    </row>
    <row r="88" spans="1:16" x14ac:dyDescent="0.35">
      <c r="A88" s="2" t="s">
        <v>102</v>
      </c>
      <c r="B88" s="2">
        <v>1</v>
      </c>
      <c r="C88" s="2">
        <v>2</v>
      </c>
      <c r="D88" s="2">
        <v>2</v>
      </c>
      <c r="E88" s="2">
        <v>1</v>
      </c>
      <c r="F88" s="2">
        <v>1</v>
      </c>
      <c r="G88" s="2" t="s">
        <v>37</v>
      </c>
      <c r="H88" s="2" t="s">
        <v>74</v>
      </c>
      <c r="I88" s="2" t="s">
        <v>98</v>
      </c>
      <c r="J88" s="2">
        <v>710209</v>
      </c>
      <c r="K88" s="2" t="s">
        <v>76</v>
      </c>
      <c r="L88" s="2" t="s">
        <v>77</v>
      </c>
      <c r="M88" s="2" t="s">
        <v>77</v>
      </c>
      <c r="N88" s="2">
        <v>2</v>
      </c>
      <c r="O88" s="2">
        <v>2023</v>
      </c>
      <c r="P88" s="57">
        <v>44958</v>
      </c>
    </row>
    <row r="89" spans="1:16" x14ac:dyDescent="0.35">
      <c r="A89" s="2" t="s">
        <v>78</v>
      </c>
      <c r="B89" s="2">
        <v>1</v>
      </c>
      <c r="C89" s="2">
        <v>1</v>
      </c>
      <c r="D89" s="2">
        <v>1</v>
      </c>
      <c r="E89" s="2">
        <v>1</v>
      </c>
      <c r="F89" s="2">
        <v>1</v>
      </c>
      <c r="G89" s="2" t="s">
        <v>42</v>
      </c>
      <c r="H89" s="2" t="s">
        <v>74</v>
      </c>
      <c r="I89" s="2" t="s">
        <v>98</v>
      </c>
      <c r="J89" s="2">
        <v>710209</v>
      </c>
      <c r="K89" s="2" t="s">
        <v>76</v>
      </c>
      <c r="L89" s="2" t="s">
        <v>77</v>
      </c>
      <c r="M89" s="2" t="s">
        <v>77</v>
      </c>
      <c r="N89" s="2">
        <v>2</v>
      </c>
      <c r="O89" s="2">
        <v>2023</v>
      </c>
      <c r="P89" s="57">
        <v>44958</v>
      </c>
    </row>
    <row r="90" spans="1:16" x14ac:dyDescent="0.35">
      <c r="A90" s="2" t="s">
        <v>80</v>
      </c>
      <c r="B90" s="2">
        <v>1</v>
      </c>
      <c r="C90" s="2">
        <v>2</v>
      </c>
      <c r="D90" s="2">
        <v>2</v>
      </c>
      <c r="E90" s="2">
        <v>1</v>
      </c>
      <c r="F90" s="2">
        <v>1</v>
      </c>
      <c r="G90" s="2" t="s">
        <v>40</v>
      </c>
      <c r="H90" s="2" t="s">
        <v>74</v>
      </c>
      <c r="I90" s="2" t="s">
        <v>98</v>
      </c>
      <c r="J90" s="2">
        <v>710209</v>
      </c>
      <c r="K90" s="2" t="s">
        <v>76</v>
      </c>
      <c r="L90" s="2" t="s">
        <v>77</v>
      </c>
      <c r="M90" s="2" t="s">
        <v>77</v>
      </c>
      <c r="N90" s="2">
        <v>2</v>
      </c>
      <c r="O90" s="2">
        <v>2023</v>
      </c>
      <c r="P90" s="57">
        <v>44958</v>
      </c>
    </row>
    <row r="91" spans="1:16" x14ac:dyDescent="0.35">
      <c r="A91" s="2" t="s">
        <v>92</v>
      </c>
      <c r="B91" s="2">
        <v>1</v>
      </c>
      <c r="C91" s="2">
        <v>1</v>
      </c>
      <c r="D91" s="2">
        <v>1</v>
      </c>
      <c r="E91" s="2">
        <v>1</v>
      </c>
      <c r="F91" s="2">
        <v>1</v>
      </c>
      <c r="G91" s="2" t="s">
        <v>40</v>
      </c>
      <c r="H91" s="2" t="s">
        <v>74</v>
      </c>
      <c r="I91" s="2" t="s">
        <v>98</v>
      </c>
      <c r="J91" s="2">
        <v>710209</v>
      </c>
      <c r="K91" s="2" t="s">
        <v>76</v>
      </c>
      <c r="L91" s="2" t="s">
        <v>77</v>
      </c>
      <c r="M91" s="2" t="s">
        <v>77</v>
      </c>
      <c r="N91" s="2">
        <v>2</v>
      </c>
      <c r="O91" s="2">
        <v>2023</v>
      </c>
      <c r="P91" s="57">
        <v>44958</v>
      </c>
    </row>
    <row r="92" spans="1:16" x14ac:dyDescent="0.35">
      <c r="A92" s="2" t="s">
        <v>81</v>
      </c>
      <c r="B92" s="2">
        <v>3</v>
      </c>
      <c r="C92" s="2">
        <v>4</v>
      </c>
      <c r="D92" s="2">
        <v>5</v>
      </c>
      <c r="E92" s="2">
        <v>4</v>
      </c>
      <c r="F92" s="2">
        <v>2</v>
      </c>
      <c r="G92" s="2" t="s">
        <v>42</v>
      </c>
      <c r="H92" s="2" t="s">
        <v>74</v>
      </c>
      <c r="I92" s="2" t="s">
        <v>98</v>
      </c>
      <c r="J92" s="2">
        <v>710209</v>
      </c>
      <c r="K92" s="2" t="s">
        <v>76</v>
      </c>
      <c r="L92" s="2" t="s">
        <v>77</v>
      </c>
      <c r="M92" s="2" t="s">
        <v>77</v>
      </c>
      <c r="N92" s="2">
        <v>2</v>
      </c>
      <c r="O92" s="2">
        <v>2023</v>
      </c>
      <c r="P92" s="57">
        <v>44958</v>
      </c>
    </row>
    <row r="93" spans="1:16" x14ac:dyDescent="0.35">
      <c r="A93" s="2" t="s">
        <v>81</v>
      </c>
      <c r="B93" s="2">
        <v>4</v>
      </c>
      <c r="C93" s="2">
        <v>8</v>
      </c>
      <c r="D93" s="2">
        <v>8</v>
      </c>
      <c r="E93" s="2">
        <v>4</v>
      </c>
      <c r="F93" s="2">
        <v>2</v>
      </c>
      <c r="G93" s="2" t="s">
        <v>37</v>
      </c>
      <c r="H93" s="2" t="s">
        <v>74</v>
      </c>
      <c r="I93" s="2" t="s">
        <v>98</v>
      </c>
      <c r="J93" s="2">
        <v>710209</v>
      </c>
      <c r="K93" s="2" t="s">
        <v>76</v>
      </c>
      <c r="L93" s="2" t="s">
        <v>77</v>
      </c>
      <c r="M93" s="2" t="s">
        <v>77</v>
      </c>
      <c r="N93" s="2">
        <v>2</v>
      </c>
      <c r="O93" s="2">
        <v>2023</v>
      </c>
      <c r="P93" s="57">
        <v>44958</v>
      </c>
    </row>
    <row r="94" spans="1:16" x14ac:dyDescent="0.35">
      <c r="A94" s="2" t="s">
        <v>94</v>
      </c>
      <c r="B94" s="2">
        <v>1</v>
      </c>
      <c r="C94" s="2">
        <v>2</v>
      </c>
      <c r="D94" s="2">
        <v>2</v>
      </c>
      <c r="E94" s="2">
        <v>1</v>
      </c>
      <c r="F94" s="2">
        <v>1</v>
      </c>
      <c r="G94" s="2" t="s">
        <v>37</v>
      </c>
      <c r="H94" s="2" t="s">
        <v>74</v>
      </c>
      <c r="I94" s="2" t="s">
        <v>95</v>
      </c>
      <c r="J94" s="2">
        <v>750318</v>
      </c>
      <c r="K94" s="2" t="s">
        <v>76</v>
      </c>
      <c r="L94" s="2" t="s">
        <v>77</v>
      </c>
      <c r="M94" s="2" t="s">
        <v>77</v>
      </c>
      <c r="N94" s="2">
        <v>2</v>
      </c>
      <c r="O94" s="2">
        <v>2023</v>
      </c>
      <c r="P94" s="57">
        <v>44958</v>
      </c>
    </row>
    <row r="95" spans="1:16" x14ac:dyDescent="0.35">
      <c r="A95" s="2" t="s">
        <v>94</v>
      </c>
      <c r="B95" s="2">
        <v>1</v>
      </c>
      <c r="C95" s="2">
        <v>1</v>
      </c>
      <c r="D95" s="2">
        <v>1</v>
      </c>
      <c r="E95" s="2">
        <v>1</v>
      </c>
      <c r="F95" s="2">
        <v>1</v>
      </c>
      <c r="G95" s="2" t="s">
        <v>42</v>
      </c>
      <c r="H95" s="2" t="s">
        <v>74</v>
      </c>
      <c r="I95" s="2" t="s">
        <v>95</v>
      </c>
      <c r="J95" s="2">
        <v>750318</v>
      </c>
      <c r="K95" s="2" t="s">
        <v>76</v>
      </c>
      <c r="L95" s="2" t="s">
        <v>77</v>
      </c>
      <c r="M95" s="2" t="s">
        <v>77</v>
      </c>
      <c r="N95" s="2">
        <v>2</v>
      </c>
      <c r="O95" s="2">
        <v>2023</v>
      </c>
      <c r="P95" s="57">
        <v>44958</v>
      </c>
    </row>
    <row r="96" spans="1:16" x14ac:dyDescent="0.35">
      <c r="A96" s="2" t="s">
        <v>94</v>
      </c>
      <c r="B96" s="2">
        <v>2</v>
      </c>
      <c r="C96" s="2">
        <v>2</v>
      </c>
      <c r="D96" s="2">
        <v>2</v>
      </c>
      <c r="E96" s="2">
        <v>2</v>
      </c>
      <c r="F96" s="2">
        <v>2</v>
      </c>
      <c r="G96" s="2" t="s">
        <v>40</v>
      </c>
      <c r="H96" s="2" t="s">
        <v>74</v>
      </c>
      <c r="I96" s="2" t="s">
        <v>95</v>
      </c>
      <c r="J96" s="2">
        <v>750318</v>
      </c>
      <c r="K96" s="2" t="s">
        <v>76</v>
      </c>
      <c r="L96" s="2" t="s">
        <v>77</v>
      </c>
      <c r="M96" s="2" t="s">
        <v>77</v>
      </c>
      <c r="N96" s="2">
        <v>2</v>
      </c>
      <c r="O96" s="2">
        <v>2023</v>
      </c>
      <c r="P96" s="57">
        <v>44958</v>
      </c>
    </row>
    <row r="97" spans="1:16" x14ac:dyDescent="0.35">
      <c r="A97" s="2" t="s">
        <v>94</v>
      </c>
      <c r="B97" s="2">
        <v>4</v>
      </c>
      <c r="C97" s="2">
        <v>4</v>
      </c>
      <c r="D97" s="2">
        <v>4</v>
      </c>
      <c r="E97" s="2">
        <v>4</v>
      </c>
      <c r="F97" s="2">
        <v>4</v>
      </c>
      <c r="G97" s="2" t="s">
        <v>37</v>
      </c>
      <c r="H97" s="2" t="s">
        <v>74</v>
      </c>
      <c r="I97" s="2" t="s">
        <v>95</v>
      </c>
      <c r="J97" s="2">
        <v>750318</v>
      </c>
      <c r="K97" s="2" t="s">
        <v>76</v>
      </c>
      <c r="L97" s="2" t="s">
        <v>77</v>
      </c>
      <c r="M97" s="2" t="s">
        <v>77</v>
      </c>
      <c r="N97" s="2">
        <v>2</v>
      </c>
      <c r="O97" s="2">
        <v>2023</v>
      </c>
      <c r="P97" s="57">
        <v>44958</v>
      </c>
    </row>
    <row r="98" spans="1:16" x14ac:dyDescent="0.35">
      <c r="A98" s="2" t="s">
        <v>88</v>
      </c>
      <c r="B98" s="2">
        <v>1</v>
      </c>
      <c r="C98" s="2">
        <v>1</v>
      </c>
      <c r="D98" s="2">
        <v>1</v>
      </c>
      <c r="E98" s="2">
        <v>1</v>
      </c>
      <c r="F98" s="2">
        <v>1</v>
      </c>
      <c r="G98" s="2" t="s">
        <v>37</v>
      </c>
      <c r="H98" s="2" t="s">
        <v>74</v>
      </c>
      <c r="I98" s="2" t="s">
        <v>98</v>
      </c>
      <c r="J98" s="2">
        <v>710209</v>
      </c>
      <c r="K98" s="2" t="s">
        <v>76</v>
      </c>
      <c r="L98" s="2" t="s">
        <v>77</v>
      </c>
      <c r="M98" s="2" t="s">
        <v>77</v>
      </c>
      <c r="N98" s="2">
        <v>2</v>
      </c>
      <c r="O98" s="2">
        <v>2023</v>
      </c>
      <c r="P98" s="57">
        <v>44958</v>
      </c>
    </row>
    <row r="99" spans="1:16" x14ac:dyDescent="0.35">
      <c r="A99" s="2" t="s">
        <v>99</v>
      </c>
      <c r="B99" s="2">
        <v>1</v>
      </c>
      <c r="C99" s="2">
        <v>1</v>
      </c>
      <c r="D99" s="2">
        <v>1</v>
      </c>
      <c r="E99" s="2">
        <v>1</v>
      </c>
      <c r="F99" s="2">
        <v>1</v>
      </c>
      <c r="G99" s="2" t="s">
        <v>42</v>
      </c>
      <c r="H99" s="2" t="s">
        <v>74</v>
      </c>
      <c r="I99" s="2" t="s">
        <v>100</v>
      </c>
      <c r="J99" s="2">
        <v>758287</v>
      </c>
      <c r="K99" s="2" t="s">
        <v>76</v>
      </c>
      <c r="L99" s="2" t="s">
        <v>77</v>
      </c>
      <c r="M99" s="2" t="s">
        <v>77</v>
      </c>
      <c r="N99" s="2">
        <v>3</v>
      </c>
      <c r="O99" s="2">
        <v>2020</v>
      </c>
      <c r="P99" s="57">
        <v>43891</v>
      </c>
    </row>
    <row r="100" spans="1:16" x14ac:dyDescent="0.35">
      <c r="A100" s="2" t="s">
        <v>73</v>
      </c>
      <c r="B100" s="2">
        <v>1</v>
      </c>
      <c r="C100" s="2">
        <v>1</v>
      </c>
      <c r="D100" s="2">
        <v>1</v>
      </c>
      <c r="E100" s="2">
        <v>1</v>
      </c>
      <c r="F100" s="2">
        <v>1</v>
      </c>
      <c r="G100" s="2" t="s">
        <v>42</v>
      </c>
      <c r="H100" s="2" t="s">
        <v>74</v>
      </c>
      <c r="I100" s="2" t="s">
        <v>75</v>
      </c>
      <c r="J100" s="2">
        <v>498090</v>
      </c>
      <c r="K100" s="2" t="s">
        <v>76</v>
      </c>
      <c r="L100" s="2" t="s">
        <v>77</v>
      </c>
      <c r="M100" s="2" t="s">
        <v>77</v>
      </c>
      <c r="N100" s="2">
        <v>3</v>
      </c>
      <c r="O100" s="2">
        <v>2020</v>
      </c>
      <c r="P100" s="57">
        <v>43891</v>
      </c>
    </row>
    <row r="101" spans="1:16" x14ac:dyDescent="0.35">
      <c r="A101" s="2" t="s">
        <v>78</v>
      </c>
      <c r="B101" s="2">
        <v>2</v>
      </c>
      <c r="C101" s="2">
        <v>2</v>
      </c>
      <c r="D101" s="2">
        <v>2</v>
      </c>
      <c r="E101" s="2">
        <v>2</v>
      </c>
      <c r="F101" s="2">
        <v>2</v>
      </c>
      <c r="G101" s="2" t="s">
        <v>42</v>
      </c>
      <c r="H101" s="2" t="s">
        <v>74</v>
      </c>
      <c r="I101" s="2" t="s">
        <v>79</v>
      </c>
      <c r="J101" s="2">
        <v>710209</v>
      </c>
      <c r="K101" s="2" t="s">
        <v>76</v>
      </c>
      <c r="L101" s="2" t="s">
        <v>77</v>
      </c>
      <c r="M101" s="2" t="s">
        <v>77</v>
      </c>
      <c r="N101" s="2">
        <v>3</v>
      </c>
      <c r="O101" s="2">
        <v>2020</v>
      </c>
      <c r="P101" s="57">
        <v>43891</v>
      </c>
    </row>
    <row r="102" spans="1:16" x14ac:dyDescent="0.35">
      <c r="A102" s="2" t="s">
        <v>78</v>
      </c>
      <c r="B102" s="2">
        <v>6</v>
      </c>
      <c r="C102" s="2">
        <v>16</v>
      </c>
      <c r="D102" s="2">
        <v>16</v>
      </c>
      <c r="E102" s="2">
        <v>6</v>
      </c>
      <c r="F102" s="2">
        <v>3</v>
      </c>
      <c r="G102" s="2" t="s">
        <v>42</v>
      </c>
      <c r="H102" s="2" t="s">
        <v>74</v>
      </c>
      <c r="I102" s="2" t="s">
        <v>79</v>
      </c>
      <c r="J102" s="2">
        <v>710209</v>
      </c>
      <c r="K102" s="2" t="s">
        <v>76</v>
      </c>
      <c r="L102" s="2" t="s">
        <v>77</v>
      </c>
      <c r="M102" s="2" t="s">
        <v>77</v>
      </c>
      <c r="N102" s="2">
        <v>3</v>
      </c>
      <c r="O102" s="2">
        <v>2020</v>
      </c>
      <c r="P102" s="57">
        <v>43891</v>
      </c>
    </row>
    <row r="103" spans="1:16" x14ac:dyDescent="0.35">
      <c r="A103" s="2" t="s">
        <v>92</v>
      </c>
      <c r="B103" s="2">
        <v>3</v>
      </c>
      <c r="C103" s="2">
        <v>3</v>
      </c>
      <c r="D103" s="2">
        <v>3</v>
      </c>
      <c r="E103" s="2">
        <v>3</v>
      </c>
      <c r="F103" s="2">
        <v>3</v>
      </c>
      <c r="G103" s="2" t="s">
        <v>40</v>
      </c>
      <c r="H103" s="2" t="s">
        <v>74</v>
      </c>
      <c r="I103" s="2" t="s">
        <v>79</v>
      </c>
      <c r="J103" s="2">
        <v>710209</v>
      </c>
      <c r="K103" s="2" t="s">
        <v>76</v>
      </c>
      <c r="L103" s="2" t="s">
        <v>77</v>
      </c>
      <c r="M103" s="2" t="s">
        <v>77</v>
      </c>
      <c r="N103" s="2">
        <v>3</v>
      </c>
      <c r="O103" s="2">
        <v>2020</v>
      </c>
      <c r="P103" s="57">
        <v>43891</v>
      </c>
    </row>
    <row r="104" spans="1:16" x14ac:dyDescent="0.35">
      <c r="A104" s="2" t="s">
        <v>81</v>
      </c>
      <c r="B104" s="2">
        <v>1</v>
      </c>
      <c r="C104" s="2">
        <v>1</v>
      </c>
      <c r="D104" s="2">
        <v>1</v>
      </c>
      <c r="E104" s="2">
        <v>1</v>
      </c>
      <c r="F104" s="2">
        <v>1</v>
      </c>
      <c r="G104" s="2" t="s">
        <v>42</v>
      </c>
      <c r="H104" s="2" t="s">
        <v>74</v>
      </c>
      <c r="I104" s="2" t="s">
        <v>79</v>
      </c>
      <c r="J104" s="2">
        <v>710209</v>
      </c>
      <c r="K104" s="2" t="s">
        <v>76</v>
      </c>
      <c r="L104" s="2" t="s">
        <v>77</v>
      </c>
      <c r="M104" s="2" t="s">
        <v>77</v>
      </c>
      <c r="N104" s="2">
        <v>3</v>
      </c>
      <c r="O104" s="2">
        <v>2020</v>
      </c>
      <c r="P104" s="57">
        <v>43891</v>
      </c>
    </row>
    <row r="105" spans="1:16" x14ac:dyDescent="0.35">
      <c r="A105" s="2" t="s">
        <v>82</v>
      </c>
      <c r="B105" s="2">
        <v>1</v>
      </c>
      <c r="C105" s="2">
        <v>1</v>
      </c>
      <c r="D105" s="2">
        <v>1</v>
      </c>
      <c r="E105" s="2">
        <v>1</v>
      </c>
      <c r="F105" s="2">
        <v>1</v>
      </c>
      <c r="G105" s="2" t="s">
        <v>103</v>
      </c>
      <c r="H105" s="2" t="s">
        <v>83</v>
      </c>
      <c r="I105" s="2" t="s">
        <v>79</v>
      </c>
      <c r="J105" s="2">
        <v>710209</v>
      </c>
      <c r="K105" s="2" t="s">
        <v>76</v>
      </c>
      <c r="L105" s="2" t="s">
        <v>77</v>
      </c>
      <c r="M105" s="2" t="s">
        <v>77</v>
      </c>
      <c r="N105" s="2">
        <v>3</v>
      </c>
      <c r="O105" s="2">
        <v>2020</v>
      </c>
      <c r="P105" s="57">
        <v>43891</v>
      </c>
    </row>
    <row r="106" spans="1:16" x14ac:dyDescent="0.35">
      <c r="A106" s="2" t="s">
        <v>82</v>
      </c>
      <c r="B106" s="2">
        <v>4</v>
      </c>
      <c r="C106" s="2">
        <v>9</v>
      </c>
      <c r="D106" s="2">
        <v>9</v>
      </c>
      <c r="E106" s="2">
        <v>4</v>
      </c>
      <c r="F106" s="2">
        <v>1</v>
      </c>
      <c r="G106" s="2" t="s">
        <v>42</v>
      </c>
      <c r="H106" s="2" t="s">
        <v>83</v>
      </c>
      <c r="I106" s="2" t="s">
        <v>79</v>
      </c>
      <c r="J106" s="2">
        <v>710209</v>
      </c>
      <c r="K106" s="2" t="s">
        <v>76</v>
      </c>
      <c r="L106" s="2" t="s">
        <v>77</v>
      </c>
      <c r="M106" s="2" t="s">
        <v>77</v>
      </c>
      <c r="N106" s="2">
        <v>3</v>
      </c>
      <c r="O106" s="2">
        <v>2020</v>
      </c>
      <c r="P106" s="57">
        <v>43891</v>
      </c>
    </row>
    <row r="107" spans="1:16" x14ac:dyDescent="0.35">
      <c r="A107" s="2" t="s">
        <v>94</v>
      </c>
      <c r="B107" s="2">
        <v>2</v>
      </c>
      <c r="C107" s="2">
        <v>4</v>
      </c>
      <c r="D107" s="2">
        <v>4</v>
      </c>
      <c r="E107" s="2">
        <v>2</v>
      </c>
      <c r="F107" s="2">
        <v>2</v>
      </c>
      <c r="G107" s="2" t="s">
        <v>40</v>
      </c>
      <c r="H107" s="2" t="s">
        <v>74</v>
      </c>
      <c r="I107" s="2" t="s">
        <v>95</v>
      </c>
      <c r="J107" s="2">
        <v>750318</v>
      </c>
      <c r="K107" s="2" t="s">
        <v>76</v>
      </c>
      <c r="L107" s="2" t="s">
        <v>77</v>
      </c>
      <c r="M107" s="2" t="s">
        <v>77</v>
      </c>
      <c r="N107" s="2">
        <v>3</v>
      </c>
      <c r="O107" s="2">
        <v>2020</v>
      </c>
      <c r="P107" s="57">
        <v>43891</v>
      </c>
    </row>
    <row r="108" spans="1:16" x14ac:dyDescent="0.35">
      <c r="A108" s="2" t="s">
        <v>86</v>
      </c>
      <c r="B108" s="2">
        <v>2</v>
      </c>
      <c r="C108" s="2">
        <v>3</v>
      </c>
      <c r="D108" s="2">
        <v>4</v>
      </c>
      <c r="E108" s="2">
        <v>3</v>
      </c>
      <c r="F108" s="2">
        <v>2</v>
      </c>
      <c r="G108" s="2" t="s">
        <v>37</v>
      </c>
      <c r="H108" s="2" t="s">
        <v>87</v>
      </c>
      <c r="I108" s="2" t="s">
        <v>79</v>
      </c>
      <c r="J108" s="2">
        <v>710209</v>
      </c>
      <c r="K108" s="2" t="s">
        <v>76</v>
      </c>
      <c r="L108" s="2" t="s">
        <v>77</v>
      </c>
      <c r="M108" s="2" t="s">
        <v>77</v>
      </c>
      <c r="N108" s="2">
        <v>3</v>
      </c>
      <c r="O108" s="2">
        <v>2020</v>
      </c>
      <c r="P108" s="57">
        <v>43891</v>
      </c>
    </row>
    <row r="109" spans="1:16" x14ac:dyDescent="0.35">
      <c r="A109" s="2" t="s">
        <v>86</v>
      </c>
      <c r="B109" s="2">
        <v>1</v>
      </c>
      <c r="C109" s="2">
        <v>1</v>
      </c>
      <c r="D109" s="2">
        <v>4</v>
      </c>
      <c r="E109" s="2">
        <v>2</v>
      </c>
      <c r="F109" s="2">
        <v>1</v>
      </c>
      <c r="G109" s="2" t="s">
        <v>42</v>
      </c>
      <c r="H109" s="2" t="s">
        <v>87</v>
      </c>
      <c r="I109" s="2" t="s">
        <v>79</v>
      </c>
      <c r="J109" s="2">
        <v>710209</v>
      </c>
      <c r="K109" s="2" t="s">
        <v>76</v>
      </c>
      <c r="L109" s="2" t="s">
        <v>77</v>
      </c>
      <c r="M109" s="2" t="s">
        <v>77</v>
      </c>
      <c r="N109" s="2">
        <v>3</v>
      </c>
      <c r="O109" s="2">
        <v>2020</v>
      </c>
      <c r="P109" s="57">
        <v>43891</v>
      </c>
    </row>
    <row r="110" spans="1:16" x14ac:dyDescent="0.35">
      <c r="A110" s="2" t="s">
        <v>88</v>
      </c>
      <c r="B110" s="2">
        <v>1</v>
      </c>
      <c r="C110" s="2">
        <v>1</v>
      </c>
      <c r="D110" s="2">
        <v>1</v>
      </c>
      <c r="E110" s="2">
        <v>1</v>
      </c>
      <c r="F110" s="2">
        <v>1</v>
      </c>
      <c r="G110" s="2" t="s">
        <v>42</v>
      </c>
      <c r="H110" s="2" t="s">
        <v>74</v>
      </c>
      <c r="I110" s="2" t="s">
        <v>79</v>
      </c>
      <c r="J110" s="2">
        <v>710209</v>
      </c>
      <c r="K110" s="2" t="s">
        <v>76</v>
      </c>
      <c r="L110" s="2" t="s">
        <v>77</v>
      </c>
      <c r="M110" s="2" t="s">
        <v>77</v>
      </c>
      <c r="N110" s="2">
        <v>3</v>
      </c>
      <c r="O110" s="2">
        <v>2020</v>
      </c>
      <c r="P110" s="57">
        <v>43891</v>
      </c>
    </row>
    <row r="111" spans="1:16" x14ac:dyDescent="0.35">
      <c r="A111" s="2" t="s">
        <v>102</v>
      </c>
      <c r="B111" s="2">
        <v>1</v>
      </c>
      <c r="C111" s="2">
        <v>4</v>
      </c>
      <c r="D111" s="2">
        <v>4</v>
      </c>
      <c r="E111" s="2">
        <v>1</v>
      </c>
      <c r="F111" s="2">
        <v>1</v>
      </c>
      <c r="G111" s="2" t="s">
        <v>42</v>
      </c>
      <c r="H111" s="2" t="s">
        <v>74</v>
      </c>
      <c r="I111" s="2" t="s">
        <v>79</v>
      </c>
      <c r="J111" s="2">
        <v>710209</v>
      </c>
      <c r="K111" s="2" t="s">
        <v>76</v>
      </c>
      <c r="L111" s="2" t="s">
        <v>77</v>
      </c>
      <c r="M111" s="2" t="s">
        <v>77</v>
      </c>
      <c r="N111" s="2">
        <v>3</v>
      </c>
      <c r="O111" s="2">
        <v>2021</v>
      </c>
      <c r="P111" s="57">
        <v>44256</v>
      </c>
    </row>
    <row r="112" spans="1:16" x14ac:dyDescent="0.35">
      <c r="A112" s="2" t="s">
        <v>78</v>
      </c>
      <c r="B112" s="2">
        <v>1</v>
      </c>
      <c r="C112" s="2">
        <v>2</v>
      </c>
      <c r="D112" s="2">
        <v>2</v>
      </c>
      <c r="E112" s="2">
        <v>1</v>
      </c>
      <c r="F112" s="2">
        <v>1</v>
      </c>
      <c r="G112" s="2" t="s">
        <v>37</v>
      </c>
      <c r="H112" s="2" t="s">
        <v>74</v>
      </c>
      <c r="I112" s="2" t="s">
        <v>79</v>
      </c>
      <c r="J112" s="2">
        <v>710209</v>
      </c>
      <c r="K112" s="2" t="s">
        <v>76</v>
      </c>
      <c r="L112" s="2" t="s">
        <v>77</v>
      </c>
      <c r="M112" s="2" t="s">
        <v>77</v>
      </c>
      <c r="N112" s="2">
        <v>3</v>
      </c>
      <c r="O112" s="2">
        <v>2021</v>
      </c>
      <c r="P112" s="57">
        <v>44256</v>
      </c>
    </row>
    <row r="113" spans="1:16" x14ac:dyDescent="0.35">
      <c r="A113" s="2" t="s">
        <v>80</v>
      </c>
      <c r="B113" s="2">
        <v>1</v>
      </c>
      <c r="C113" s="2">
        <v>1</v>
      </c>
      <c r="D113" s="2">
        <v>1</v>
      </c>
      <c r="E113" s="2">
        <v>1</v>
      </c>
      <c r="F113" s="2">
        <v>1</v>
      </c>
      <c r="G113" s="2" t="s">
        <v>37</v>
      </c>
      <c r="H113" s="2" t="s">
        <v>74</v>
      </c>
      <c r="I113" s="2" t="s">
        <v>79</v>
      </c>
      <c r="J113" s="2">
        <v>710209</v>
      </c>
      <c r="K113" s="2" t="s">
        <v>76</v>
      </c>
      <c r="L113" s="2" t="s">
        <v>77</v>
      </c>
      <c r="M113" s="2" t="s">
        <v>77</v>
      </c>
      <c r="N113" s="2">
        <v>3</v>
      </c>
      <c r="O113" s="2">
        <v>2021</v>
      </c>
      <c r="P113" s="57">
        <v>44256</v>
      </c>
    </row>
    <row r="114" spans="1:16" x14ac:dyDescent="0.35">
      <c r="A114" s="2" t="s">
        <v>92</v>
      </c>
      <c r="B114" s="2">
        <v>1</v>
      </c>
      <c r="C114" s="2">
        <v>2</v>
      </c>
      <c r="D114" s="2">
        <v>2</v>
      </c>
      <c r="E114" s="2">
        <v>1</v>
      </c>
      <c r="F114" s="2">
        <v>1</v>
      </c>
      <c r="G114" s="2" t="s">
        <v>37</v>
      </c>
      <c r="H114" s="2" t="s">
        <v>74</v>
      </c>
      <c r="I114" s="2" t="s">
        <v>79</v>
      </c>
      <c r="J114" s="2">
        <v>710209</v>
      </c>
      <c r="K114" s="2" t="s">
        <v>76</v>
      </c>
      <c r="L114" s="2" t="s">
        <v>77</v>
      </c>
      <c r="M114" s="2" t="s">
        <v>77</v>
      </c>
      <c r="N114" s="2">
        <v>3</v>
      </c>
      <c r="O114" s="2">
        <v>2021</v>
      </c>
      <c r="P114" s="57">
        <v>44256</v>
      </c>
    </row>
    <row r="115" spans="1:16" x14ac:dyDescent="0.35">
      <c r="A115" s="2" t="s">
        <v>81</v>
      </c>
      <c r="B115" s="2">
        <v>1</v>
      </c>
      <c r="C115" s="2">
        <v>1</v>
      </c>
      <c r="D115" s="2">
        <v>1</v>
      </c>
      <c r="E115" s="2">
        <v>1</v>
      </c>
      <c r="F115" s="2">
        <v>1</v>
      </c>
      <c r="G115" s="2" t="s">
        <v>37</v>
      </c>
      <c r="H115" s="2" t="s">
        <v>74</v>
      </c>
      <c r="I115" s="2" t="s">
        <v>79</v>
      </c>
      <c r="J115" s="2">
        <v>710209</v>
      </c>
      <c r="K115" s="2" t="s">
        <v>76</v>
      </c>
      <c r="L115" s="2" t="s">
        <v>77</v>
      </c>
      <c r="M115" s="2" t="s">
        <v>77</v>
      </c>
      <c r="N115" s="2">
        <v>3</v>
      </c>
      <c r="O115" s="2">
        <v>2021</v>
      </c>
      <c r="P115" s="57">
        <v>44256</v>
      </c>
    </row>
    <row r="116" spans="1:16" x14ac:dyDescent="0.35">
      <c r="A116" s="2" t="s">
        <v>82</v>
      </c>
      <c r="B116" s="2">
        <v>1</v>
      </c>
      <c r="C116" s="2">
        <v>1</v>
      </c>
      <c r="D116" s="2">
        <v>1</v>
      </c>
      <c r="E116" s="2">
        <v>1</v>
      </c>
      <c r="F116" s="2">
        <v>1</v>
      </c>
      <c r="G116" s="2" t="s">
        <v>42</v>
      </c>
      <c r="H116" s="2" t="s">
        <v>83</v>
      </c>
      <c r="I116" s="2" t="s">
        <v>79</v>
      </c>
      <c r="J116" s="2">
        <v>710209</v>
      </c>
      <c r="K116" s="2" t="s">
        <v>76</v>
      </c>
      <c r="L116" s="2" t="s">
        <v>77</v>
      </c>
      <c r="M116" s="2" t="s">
        <v>77</v>
      </c>
      <c r="N116" s="2">
        <v>3</v>
      </c>
      <c r="O116" s="2">
        <v>2021</v>
      </c>
      <c r="P116" s="57">
        <v>44256</v>
      </c>
    </row>
    <row r="117" spans="1:16" x14ac:dyDescent="0.35">
      <c r="A117" s="2" t="s">
        <v>82</v>
      </c>
      <c r="B117" s="2">
        <v>1</v>
      </c>
      <c r="C117" s="2">
        <v>1</v>
      </c>
      <c r="D117" s="2">
        <v>1</v>
      </c>
      <c r="E117" s="2">
        <v>1</v>
      </c>
      <c r="F117" s="2">
        <v>1</v>
      </c>
      <c r="G117" s="2" t="s">
        <v>37</v>
      </c>
      <c r="H117" s="2" t="s">
        <v>83</v>
      </c>
      <c r="I117" s="2" t="s">
        <v>79</v>
      </c>
      <c r="J117" s="2">
        <v>710209</v>
      </c>
      <c r="K117" s="2" t="s">
        <v>76</v>
      </c>
      <c r="L117" s="2" t="s">
        <v>77</v>
      </c>
      <c r="M117" s="2" t="s">
        <v>77</v>
      </c>
      <c r="N117" s="2">
        <v>3</v>
      </c>
      <c r="O117" s="2">
        <v>2021</v>
      </c>
      <c r="P117" s="57">
        <v>44256</v>
      </c>
    </row>
    <row r="118" spans="1:16" x14ac:dyDescent="0.35">
      <c r="A118" s="2" t="s">
        <v>82</v>
      </c>
      <c r="B118" s="2">
        <v>1</v>
      </c>
      <c r="C118" s="2">
        <v>1</v>
      </c>
      <c r="D118" s="2">
        <v>1</v>
      </c>
      <c r="E118" s="2">
        <v>1</v>
      </c>
      <c r="F118" s="2">
        <v>1</v>
      </c>
      <c r="G118" s="2" t="s">
        <v>37</v>
      </c>
      <c r="H118" s="2" t="s">
        <v>83</v>
      </c>
      <c r="I118" s="2" t="s">
        <v>79</v>
      </c>
      <c r="J118" s="2">
        <v>710209</v>
      </c>
      <c r="K118" s="2" t="s">
        <v>76</v>
      </c>
      <c r="L118" s="2" t="s">
        <v>77</v>
      </c>
      <c r="M118" s="2" t="s">
        <v>77</v>
      </c>
      <c r="N118" s="2">
        <v>3</v>
      </c>
      <c r="O118" s="2">
        <v>2021</v>
      </c>
      <c r="P118" s="57">
        <v>44256</v>
      </c>
    </row>
    <row r="119" spans="1:16" x14ac:dyDescent="0.35">
      <c r="A119" s="2" t="s">
        <v>82</v>
      </c>
      <c r="B119" s="2">
        <v>1</v>
      </c>
      <c r="C119" s="2">
        <v>1</v>
      </c>
      <c r="D119" s="2">
        <v>1</v>
      </c>
      <c r="E119" s="2">
        <v>1</v>
      </c>
      <c r="F119" s="2">
        <v>1</v>
      </c>
      <c r="G119" s="2" t="s">
        <v>37</v>
      </c>
      <c r="H119" s="2" t="s">
        <v>83</v>
      </c>
      <c r="I119" s="2" t="s">
        <v>79</v>
      </c>
      <c r="J119" s="2">
        <v>710209</v>
      </c>
      <c r="K119" s="2" t="s">
        <v>76</v>
      </c>
      <c r="L119" s="2" t="s">
        <v>77</v>
      </c>
      <c r="M119" s="2" t="s">
        <v>77</v>
      </c>
      <c r="N119" s="2">
        <v>3</v>
      </c>
      <c r="O119" s="2">
        <v>2021</v>
      </c>
      <c r="P119" s="57">
        <v>44256</v>
      </c>
    </row>
    <row r="120" spans="1:16" x14ac:dyDescent="0.35">
      <c r="A120" s="2" t="s">
        <v>82</v>
      </c>
      <c r="B120" s="2">
        <v>1</v>
      </c>
      <c r="C120" s="2">
        <v>1</v>
      </c>
      <c r="D120" s="2">
        <v>1</v>
      </c>
      <c r="E120" s="2">
        <v>1</v>
      </c>
      <c r="F120" s="2">
        <v>1</v>
      </c>
      <c r="G120" s="2" t="s">
        <v>37</v>
      </c>
      <c r="H120" s="2" t="s">
        <v>83</v>
      </c>
      <c r="I120" s="2" t="s">
        <v>79</v>
      </c>
      <c r="J120" s="2">
        <v>710209</v>
      </c>
      <c r="K120" s="2" t="s">
        <v>76</v>
      </c>
      <c r="L120" s="2" t="s">
        <v>77</v>
      </c>
      <c r="M120" s="2" t="s">
        <v>77</v>
      </c>
      <c r="N120" s="2">
        <v>3</v>
      </c>
      <c r="O120" s="2">
        <v>2021</v>
      </c>
      <c r="P120" s="57">
        <v>44256</v>
      </c>
    </row>
    <row r="121" spans="1:16" x14ac:dyDescent="0.35">
      <c r="A121" s="2" t="s">
        <v>82</v>
      </c>
      <c r="B121" s="2">
        <v>1</v>
      </c>
      <c r="C121" s="2">
        <v>1</v>
      </c>
      <c r="D121" s="2">
        <v>1</v>
      </c>
      <c r="E121" s="2">
        <v>1</v>
      </c>
      <c r="F121" s="2">
        <v>1</v>
      </c>
      <c r="G121" s="2" t="s">
        <v>37</v>
      </c>
      <c r="H121" s="2" t="s">
        <v>83</v>
      </c>
      <c r="I121" s="2" t="s">
        <v>79</v>
      </c>
      <c r="J121" s="2">
        <v>710209</v>
      </c>
      <c r="K121" s="2" t="s">
        <v>76</v>
      </c>
      <c r="L121" s="2" t="s">
        <v>77</v>
      </c>
      <c r="M121" s="2" t="s">
        <v>77</v>
      </c>
      <c r="N121" s="2">
        <v>3</v>
      </c>
      <c r="O121" s="2">
        <v>2021</v>
      </c>
      <c r="P121" s="57">
        <v>44256</v>
      </c>
    </row>
    <row r="122" spans="1:16" x14ac:dyDescent="0.35">
      <c r="A122" s="2" t="s">
        <v>82</v>
      </c>
      <c r="B122" s="2">
        <v>1</v>
      </c>
      <c r="C122" s="2">
        <v>1</v>
      </c>
      <c r="D122" s="2">
        <v>2</v>
      </c>
      <c r="E122" s="2">
        <v>2</v>
      </c>
      <c r="F122" s="2">
        <v>1</v>
      </c>
      <c r="G122" s="2" t="s">
        <v>37</v>
      </c>
      <c r="H122" s="2" t="s">
        <v>83</v>
      </c>
      <c r="I122" s="2" t="s">
        <v>79</v>
      </c>
      <c r="J122" s="2">
        <v>710209</v>
      </c>
      <c r="K122" s="2" t="s">
        <v>76</v>
      </c>
      <c r="L122" s="2" t="s">
        <v>77</v>
      </c>
      <c r="M122" s="2" t="s">
        <v>77</v>
      </c>
      <c r="N122" s="2">
        <v>3</v>
      </c>
      <c r="O122" s="2">
        <v>2021</v>
      </c>
      <c r="P122" s="57">
        <v>44256</v>
      </c>
    </row>
    <row r="123" spans="1:16" x14ac:dyDescent="0.35">
      <c r="A123" s="2" t="s">
        <v>82</v>
      </c>
      <c r="B123" s="2">
        <v>1</v>
      </c>
      <c r="C123" s="2">
        <v>1</v>
      </c>
      <c r="D123" s="2">
        <v>1</v>
      </c>
      <c r="E123" s="2">
        <v>1</v>
      </c>
      <c r="F123" s="2">
        <v>1</v>
      </c>
      <c r="G123" s="2" t="s">
        <v>40</v>
      </c>
      <c r="H123" s="2" t="s">
        <v>83</v>
      </c>
      <c r="I123" s="2" t="s">
        <v>79</v>
      </c>
      <c r="J123" s="2">
        <v>710209</v>
      </c>
      <c r="K123" s="2" t="s">
        <v>76</v>
      </c>
      <c r="L123" s="2" t="s">
        <v>77</v>
      </c>
      <c r="M123" s="2" t="s">
        <v>77</v>
      </c>
      <c r="N123" s="2">
        <v>3</v>
      </c>
      <c r="O123" s="2">
        <v>2021</v>
      </c>
      <c r="P123" s="57">
        <v>44256</v>
      </c>
    </row>
    <row r="124" spans="1:16" x14ac:dyDescent="0.35">
      <c r="A124" s="2" t="s">
        <v>104</v>
      </c>
      <c r="B124" s="2">
        <v>1</v>
      </c>
      <c r="C124" s="2">
        <v>1</v>
      </c>
      <c r="D124" s="2">
        <v>1</v>
      </c>
      <c r="E124" s="2">
        <v>1</v>
      </c>
      <c r="F124" s="2">
        <v>1</v>
      </c>
      <c r="G124" s="2" t="s">
        <v>40</v>
      </c>
      <c r="H124" s="2" t="s">
        <v>105</v>
      </c>
      <c r="I124" s="2" t="s">
        <v>85</v>
      </c>
      <c r="J124" s="2">
        <v>555141</v>
      </c>
      <c r="K124" s="2" t="s">
        <v>76</v>
      </c>
      <c r="L124" s="2" t="s">
        <v>77</v>
      </c>
      <c r="M124" s="2" t="s">
        <v>77</v>
      </c>
      <c r="N124" s="2">
        <v>3</v>
      </c>
      <c r="O124" s="2">
        <v>2021</v>
      </c>
      <c r="P124" s="57">
        <v>44256</v>
      </c>
    </row>
    <row r="125" spans="1:16" x14ac:dyDescent="0.35">
      <c r="A125" s="2" t="s">
        <v>94</v>
      </c>
      <c r="B125" s="2">
        <v>1</v>
      </c>
      <c r="C125" s="2">
        <v>1</v>
      </c>
      <c r="D125" s="2">
        <v>1</v>
      </c>
      <c r="E125" s="2">
        <v>1</v>
      </c>
      <c r="F125" s="2">
        <v>1</v>
      </c>
      <c r="G125" s="2" t="s">
        <v>40</v>
      </c>
      <c r="H125" s="2" t="s">
        <v>74</v>
      </c>
      <c r="I125" s="2" t="s">
        <v>95</v>
      </c>
      <c r="J125" s="2">
        <v>750318</v>
      </c>
      <c r="K125" s="2" t="s">
        <v>76</v>
      </c>
      <c r="L125" s="2" t="s">
        <v>77</v>
      </c>
      <c r="M125" s="2" t="s">
        <v>77</v>
      </c>
      <c r="N125" s="2">
        <v>3</v>
      </c>
      <c r="O125" s="2">
        <v>2021</v>
      </c>
      <c r="P125" s="57">
        <v>44256</v>
      </c>
    </row>
    <row r="126" spans="1:16" x14ac:dyDescent="0.35">
      <c r="A126" s="2" t="s">
        <v>86</v>
      </c>
      <c r="B126" s="2">
        <v>1</v>
      </c>
      <c r="C126" s="2">
        <v>1</v>
      </c>
      <c r="D126" s="2">
        <v>1</v>
      </c>
      <c r="E126" s="2">
        <v>1</v>
      </c>
      <c r="F126" s="2">
        <v>1</v>
      </c>
      <c r="G126" s="2" t="s">
        <v>37</v>
      </c>
      <c r="H126" s="2" t="s">
        <v>87</v>
      </c>
      <c r="I126" s="2" t="s">
        <v>79</v>
      </c>
      <c r="J126" s="2">
        <v>710209</v>
      </c>
      <c r="K126" s="2" t="s">
        <v>76</v>
      </c>
      <c r="L126" s="2" t="s">
        <v>77</v>
      </c>
      <c r="M126" s="2" t="s">
        <v>77</v>
      </c>
      <c r="N126" s="2">
        <v>3</v>
      </c>
      <c r="O126" s="2">
        <v>2021</v>
      </c>
      <c r="P126" s="57">
        <v>44256</v>
      </c>
    </row>
    <row r="127" spans="1:16" x14ac:dyDescent="0.35">
      <c r="A127" s="2" t="s">
        <v>86</v>
      </c>
      <c r="B127" s="2">
        <v>1</v>
      </c>
      <c r="C127" s="2">
        <v>1</v>
      </c>
      <c r="D127" s="2">
        <v>1</v>
      </c>
      <c r="E127" s="2">
        <v>1</v>
      </c>
      <c r="F127" s="2">
        <v>1</v>
      </c>
      <c r="G127" s="2" t="s">
        <v>42</v>
      </c>
      <c r="H127" s="2" t="s">
        <v>87</v>
      </c>
      <c r="I127" s="2" t="s">
        <v>79</v>
      </c>
      <c r="J127" s="2">
        <v>710209</v>
      </c>
      <c r="K127" s="2" t="s">
        <v>76</v>
      </c>
      <c r="L127" s="2" t="s">
        <v>77</v>
      </c>
      <c r="M127" s="2" t="s">
        <v>77</v>
      </c>
      <c r="N127" s="2">
        <v>3</v>
      </c>
      <c r="O127" s="2">
        <v>2021</v>
      </c>
      <c r="P127" s="57">
        <v>44256</v>
      </c>
    </row>
    <row r="128" spans="1:16" x14ac:dyDescent="0.35">
      <c r="A128" s="2" t="s">
        <v>88</v>
      </c>
      <c r="B128" s="2">
        <v>1</v>
      </c>
      <c r="C128" s="2">
        <v>2</v>
      </c>
      <c r="D128" s="2">
        <v>2</v>
      </c>
      <c r="E128" s="2">
        <v>1</v>
      </c>
      <c r="F128" s="2">
        <v>1</v>
      </c>
      <c r="G128" s="2" t="s">
        <v>40</v>
      </c>
      <c r="H128" s="2" t="s">
        <v>74</v>
      </c>
      <c r="I128" s="2" t="s">
        <v>79</v>
      </c>
      <c r="J128" s="2">
        <v>710209</v>
      </c>
      <c r="K128" s="2" t="s">
        <v>76</v>
      </c>
      <c r="L128" s="2" t="s">
        <v>77</v>
      </c>
      <c r="M128" s="2" t="s">
        <v>77</v>
      </c>
      <c r="N128" s="2">
        <v>3</v>
      </c>
      <c r="O128" s="2">
        <v>2021</v>
      </c>
      <c r="P128" s="57">
        <v>44256</v>
      </c>
    </row>
    <row r="129" spans="1:16" x14ac:dyDescent="0.35">
      <c r="A129" s="2" t="s">
        <v>102</v>
      </c>
      <c r="B129" s="2">
        <v>1</v>
      </c>
      <c r="C129" s="2">
        <v>2</v>
      </c>
      <c r="D129" s="2">
        <v>3</v>
      </c>
      <c r="E129" s="2">
        <v>2</v>
      </c>
      <c r="F129" s="2">
        <v>1</v>
      </c>
      <c r="G129" s="2" t="s">
        <v>37</v>
      </c>
      <c r="H129" s="2" t="s">
        <v>74</v>
      </c>
      <c r="I129" s="2" t="s">
        <v>93</v>
      </c>
      <c r="J129" s="2">
        <v>710209</v>
      </c>
      <c r="K129" s="2" t="s">
        <v>76</v>
      </c>
      <c r="L129" s="2" t="s">
        <v>77</v>
      </c>
      <c r="M129" s="2" t="s">
        <v>77</v>
      </c>
      <c r="N129" s="2">
        <v>3</v>
      </c>
      <c r="O129" s="2">
        <v>2022</v>
      </c>
      <c r="P129" s="57">
        <v>44621</v>
      </c>
    </row>
    <row r="130" spans="1:16" x14ac:dyDescent="0.35">
      <c r="A130" s="2" t="s">
        <v>102</v>
      </c>
      <c r="B130" s="2">
        <v>1</v>
      </c>
      <c r="C130" s="2">
        <v>1</v>
      </c>
      <c r="D130" s="2">
        <v>1</v>
      </c>
      <c r="E130" s="2">
        <v>1</v>
      </c>
      <c r="F130" s="2">
        <v>1</v>
      </c>
      <c r="G130" s="2" t="s">
        <v>42</v>
      </c>
      <c r="H130" s="2" t="s">
        <v>74</v>
      </c>
      <c r="I130" s="2" t="s">
        <v>93</v>
      </c>
      <c r="J130" s="2">
        <v>710209</v>
      </c>
      <c r="K130" s="2" t="s">
        <v>76</v>
      </c>
      <c r="L130" s="2" t="s">
        <v>77</v>
      </c>
      <c r="M130" s="2" t="s">
        <v>77</v>
      </c>
      <c r="N130" s="2">
        <v>3</v>
      </c>
      <c r="O130" s="2">
        <v>2022</v>
      </c>
      <c r="P130" s="57">
        <v>44621</v>
      </c>
    </row>
    <row r="131" spans="1:16" x14ac:dyDescent="0.35">
      <c r="A131" s="2" t="s">
        <v>78</v>
      </c>
      <c r="B131" s="2">
        <v>4</v>
      </c>
      <c r="C131" s="2">
        <v>4</v>
      </c>
      <c r="D131" s="2">
        <v>4</v>
      </c>
      <c r="E131" s="2">
        <v>4</v>
      </c>
      <c r="F131" s="2">
        <v>1</v>
      </c>
      <c r="G131" s="2" t="s">
        <v>42</v>
      </c>
      <c r="H131" s="2" t="s">
        <v>74</v>
      </c>
      <c r="I131" s="2" t="s">
        <v>93</v>
      </c>
      <c r="J131" s="2">
        <v>710209</v>
      </c>
      <c r="K131" s="2" t="s">
        <v>76</v>
      </c>
      <c r="L131" s="2" t="s">
        <v>77</v>
      </c>
      <c r="M131" s="2" t="s">
        <v>77</v>
      </c>
      <c r="N131" s="2">
        <v>3</v>
      </c>
      <c r="O131" s="2">
        <v>2022</v>
      </c>
      <c r="P131" s="57">
        <v>44621</v>
      </c>
    </row>
    <row r="132" spans="1:16" x14ac:dyDescent="0.35">
      <c r="A132" s="2" t="s">
        <v>78</v>
      </c>
      <c r="B132" s="2">
        <v>2</v>
      </c>
      <c r="C132" s="2">
        <v>5</v>
      </c>
      <c r="D132" s="2">
        <v>5</v>
      </c>
      <c r="E132" s="2">
        <v>2</v>
      </c>
      <c r="F132" s="2">
        <v>1</v>
      </c>
      <c r="G132" s="2" t="s">
        <v>37</v>
      </c>
      <c r="H132" s="2" t="s">
        <v>74</v>
      </c>
      <c r="I132" s="2" t="s">
        <v>93</v>
      </c>
      <c r="J132" s="2">
        <v>710209</v>
      </c>
      <c r="K132" s="2" t="s">
        <v>76</v>
      </c>
      <c r="L132" s="2" t="s">
        <v>77</v>
      </c>
      <c r="M132" s="2" t="s">
        <v>77</v>
      </c>
      <c r="N132" s="2">
        <v>3</v>
      </c>
      <c r="O132" s="2">
        <v>2022</v>
      </c>
      <c r="P132" s="57">
        <v>44621</v>
      </c>
    </row>
    <row r="133" spans="1:16" x14ac:dyDescent="0.35">
      <c r="A133" s="2" t="s">
        <v>78</v>
      </c>
      <c r="B133" s="2">
        <v>1</v>
      </c>
      <c r="C133" s="2">
        <v>2</v>
      </c>
      <c r="D133" s="2">
        <v>2</v>
      </c>
      <c r="E133" s="2">
        <v>1</v>
      </c>
      <c r="F133" s="2">
        <v>1</v>
      </c>
      <c r="G133" s="2" t="s">
        <v>42</v>
      </c>
      <c r="H133" s="2" t="s">
        <v>74</v>
      </c>
      <c r="I133" s="2" t="s">
        <v>93</v>
      </c>
      <c r="J133" s="2">
        <v>710209</v>
      </c>
      <c r="K133" s="2" t="s">
        <v>76</v>
      </c>
      <c r="L133" s="2" t="s">
        <v>77</v>
      </c>
      <c r="M133" s="2" t="s">
        <v>77</v>
      </c>
      <c r="N133" s="2">
        <v>3</v>
      </c>
      <c r="O133" s="2">
        <v>2022</v>
      </c>
      <c r="P133" s="57">
        <v>44621</v>
      </c>
    </row>
    <row r="134" spans="1:16" x14ac:dyDescent="0.35">
      <c r="A134" s="2" t="s">
        <v>80</v>
      </c>
      <c r="B134" s="2">
        <v>1</v>
      </c>
      <c r="C134" s="2">
        <v>1</v>
      </c>
      <c r="D134" s="2">
        <v>1</v>
      </c>
      <c r="E134" s="2">
        <v>1</v>
      </c>
      <c r="F134" s="2">
        <v>1</v>
      </c>
      <c r="G134" s="2" t="s">
        <v>42</v>
      </c>
      <c r="H134" s="2" t="s">
        <v>74</v>
      </c>
      <c r="I134" s="2" t="s">
        <v>93</v>
      </c>
      <c r="J134" s="2">
        <v>710209</v>
      </c>
      <c r="K134" s="2" t="s">
        <v>76</v>
      </c>
      <c r="L134" s="2" t="s">
        <v>77</v>
      </c>
      <c r="M134" s="2" t="s">
        <v>77</v>
      </c>
      <c r="N134" s="2">
        <v>3</v>
      </c>
      <c r="O134" s="2">
        <v>2022</v>
      </c>
      <c r="P134" s="57">
        <v>44621</v>
      </c>
    </row>
    <row r="135" spans="1:16" x14ac:dyDescent="0.35">
      <c r="A135" s="2" t="s">
        <v>81</v>
      </c>
      <c r="B135" s="2">
        <v>1</v>
      </c>
      <c r="C135" s="2">
        <v>1</v>
      </c>
      <c r="D135" s="2">
        <v>1</v>
      </c>
      <c r="E135" s="2">
        <v>1</v>
      </c>
      <c r="F135" s="2">
        <v>1</v>
      </c>
      <c r="G135" s="2" t="s">
        <v>42</v>
      </c>
      <c r="H135" s="2" t="s">
        <v>74</v>
      </c>
      <c r="I135" s="2" t="s">
        <v>93</v>
      </c>
      <c r="J135" s="2">
        <v>710209</v>
      </c>
      <c r="K135" s="2" t="s">
        <v>76</v>
      </c>
      <c r="L135" s="2" t="s">
        <v>77</v>
      </c>
      <c r="M135" s="2" t="s">
        <v>77</v>
      </c>
      <c r="N135" s="2">
        <v>3</v>
      </c>
      <c r="O135" s="2">
        <v>2022</v>
      </c>
      <c r="P135" s="57">
        <v>44621</v>
      </c>
    </row>
    <row r="136" spans="1:16" x14ac:dyDescent="0.35">
      <c r="A136" s="2" t="s">
        <v>81</v>
      </c>
      <c r="B136" s="2">
        <v>2</v>
      </c>
      <c r="C136" s="2">
        <v>2</v>
      </c>
      <c r="D136" s="2">
        <v>2</v>
      </c>
      <c r="E136" s="2">
        <v>2</v>
      </c>
      <c r="F136" s="2">
        <v>2</v>
      </c>
      <c r="G136" s="2" t="s">
        <v>37</v>
      </c>
      <c r="H136" s="2" t="s">
        <v>74</v>
      </c>
      <c r="I136" s="2" t="s">
        <v>93</v>
      </c>
      <c r="J136" s="2">
        <v>710209</v>
      </c>
      <c r="K136" s="2" t="s">
        <v>76</v>
      </c>
      <c r="L136" s="2" t="s">
        <v>77</v>
      </c>
      <c r="M136" s="2" t="s">
        <v>77</v>
      </c>
      <c r="N136" s="2">
        <v>3</v>
      </c>
      <c r="O136" s="2">
        <v>2022</v>
      </c>
      <c r="P136" s="57">
        <v>44621</v>
      </c>
    </row>
    <row r="137" spans="1:16" x14ac:dyDescent="0.35">
      <c r="A137" s="2" t="s">
        <v>82</v>
      </c>
      <c r="B137" s="2">
        <v>1</v>
      </c>
      <c r="C137" s="2">
        <v>3</v>
      </c>
      <c r="D137" s="2">
        <v>3</v>
      </c>
      <c r="E137" s="2">
        <v>1</v>
      </c>
      <c r="F137" s="2">
        <v>1</v>
      </c>
      <c r="G137" s="2" t="s">
        <v>37</v>
      </c>
      <c r="H137" s="2" t="s">
        <v>83</v>
      </c>
      <c r="I137" s="2" t="s">
        <v>93</v>
      </c>
      <c r="J137" s="2">
        <v>710209</v>
      </c>
      <c r="K137" s="2" t="s">
        <v>76</v>
      </c>
      <c r="L137" s="2" t="s">
        <v>77</v>
      </c>
      <c r="M137" s="2" t="s">
        <v>77</v>
      </c>
      <c r="N137" s="2">
        <v>3</v>
      </c>
      <c r="O137" s="2">
        <v>2022</v>
      </c>
      <c r="P137" s="57">
        <v>44621</v>
      </c>
    </row>
    <row r="138" spans="1:16" x14ac:dyDescent="0.35">
      <c r="A138" s="2" t="s">
        <v>82</v>
      </c>
      <c r="B138" s="2">
        <v>2</v>
      </c>
      <c r="C138" s="2">
        <v>2</v>
      </c>
      <c r="D138" s="2">
        <v>2</v>
      </c>
      <c r="E138" s="2">
        <v>2</v>
      </c>
      <c r="F138" s="2">
        <v>1</v>
      </c>
      <c r="G138" s="2" t="s">
        <v>37</v>
      </c>
      <c r="H138" s="2" t="s">
        <v>83</v>
      </c>
      <c r="I138" s="2" t="s">
        <v>93</v>
      </c>
      <c r="J138" s="2">
        <v>710209</v>
      </c>
      <c r="K138" s="2" t="s">
        <v>76</v>
      </c>
      <c r="L138" s="2" t="s">
        <v>77</v>
      </c>
      <c r="M138" s="2" t="s">
        <v>77</v>
      </c>
      <c r="N138" s="2">
        <v>3</v>
      </c>
      <c r="O138" s="2">
        <v>2022</v>
      </c>
      <c r="P138" s="57">
        <v>44621</v>
      </c>
    </row>
    <row r="139" spans="1:16" x14ac:dyDescent="0.35">
      <c r="A139" s="2" t="s">
        <v>82</v>
      </c>
      <c r="B139" s="2">
        <v>1</v>
      </c>
      <c r="C139" s="2">
        <v>2</v>
      </c>
      <c r="D139" s="2">
        <v>2</v>
      </c>
      <c r="E139" s="2">
        <v>1</v>
      </c>
      <c r="F139" s="2">
        <v>1</v>
      </c>
      <c r="G139" s="2" t="s">
        <v>37</v>
      </c>
      <c r="H139" s="2" t="s">
        <v>83</v>
      </c>
      <c r="I139" s="2" t="s">
        <v>93</v>
      </c>
      <c r="J139" s="2">
        <v>710209</v>
      </c>
      <c r="K139" s="2" t="s">
        <v>76</v>
      </c>
      <c r="L139" s="2" t="s">
        <v>77</v>
      </c>
      <c r="M139" s="2" t="s">
        <v>77</v>
      </c>
      <c r="N139" s="2">
        <v>3</v>
      </c>
      <c r="O139" s="2">
        <v>2022</v>
      </c>
      <c r="P139" s="57">
        <v>44621</v>
      </c>
    </row>
    <row r="140" spans="1:16" x14ac:dyDescent="0.35">
      <c r="A140" s="2" t="s">
        <v>94</v>
      </c>
      <c r="B140" s="2">
        <v>1</v>
      </c>
      <c r="C140" s="2">
        <v>1</v>
      </c>
      <c r="D140" s="2">
        <v>1</v>
      </c>
      <c r="E140" s="2">
        <v>1</v>
      </c>
      <c r="F140" s="2">
        <v>1</v>
      </c>
      <c r="G140" s="2" t="s">
        <v>40</v>
      </c>
      <c r="H140" s="2" t="s">
        <v>74</v>
      </c>
      <c r="I140" s="2" t="s">
        <v>95</v>
      </c>
      <c r="J140" s="2">
        <v>750318</v>
      </c>
      <c r="K140" s="2" t="s">
        <v>76</v>
      </c>
      <c r="L140" s="2" t="s">
        <v>77</v>
      </c>
      <c r="M140" s="2" t="s">
        <v>77</v>
      </c>
      <c r="N140" s="2">
        <v>3</v>
      </c>
      <c r="O140" s="2">
        <v>2022</v>
      </c>
      <c r="P140" s="57">
        <v>44621</v>
      </c>
    </row>
    <row r="141" spans="1:16" x14ac:dyDescent="0.35">
      <c r="A141" s="2" t="s">
        <v>94</v>
      </c>
      <c r="B141" s="2">
        <v>1</v>
      </c>
      <c r="C141" s="2">
        <v>1</v>
      </c>
      <c r="D141" s="2">
        <v>1</v>
      </c>
      <c r="E141" s="2">
        <v>1</v>
      </c>
      <c r="F141" s="2">
        <v>1</v>
      </c>
      <c r="G141" s="2" t="s">
        <v>37</v>
      </c>
      <c r="H141" s="2" t="s">
        <v>74</v>
      </c>
      <c r="I141" s="2" t="s">
        <v>95</v>
      </c>
      <c r="J141" s="2">
        <v>750318</v>
      </c>
      <c r="K141" s="2" t="s">
        <v>76</v>
      </c>
      <c r="L141" s="2" t="s">
        <v>77</v>
      </c>
      <c r="M141" s="2" t="s">
        <v>77</v>
      </c>
      <c r="N141" s="2">
        <v>3</v>
      </c>
      <c r="O141" s="2">
        <v>2022</v>
      </c>
      <c r="P141" s="57">
        <v>44621</v>
      </c>
    </row>
    <row r="142" spans="1:16" x14ac:dyDescent="0.35">
      <c r="A142" s="2" t="s">
        <v>106</v>
      </c>
      <c r="B142" s="2">
        <v>1</v>
      </c>
      <c r="C142" s="2">
        <v>1</v>
      </c>
      <c r="D142" s="2">
        <v>1</v>
      </c>
      <c r="E142" s="2">
        <v>1</v>
      </c>
      <c r="F142" s="2">
        <v>1</v>
      </c>
      <c r="G142" s="2" t="s">
        <v>40</v>
      </c>
      <c r="H142" s="2" t="s">
        <v>107</v>
      </c>
      <c r="I142" s="2" t="s">
        <v>85</v>
      </c>
      <c r="J142" s="2">
        <v>555141</v>
      </c>
      <c r="K142" s="2" t="s">
        <v>76</v>
      </c>
      <c r="L142" s="2" t="s">
        <v>77</v>
      </c>
      <c r="M142" s="2" t="s">
        <v>77</v>
      </c>
      <c r="N142" s="2">
        <v>3</v>
      </c>
      <c r="O142" s="2">
        <v>2022</v>
      </c>
      <c r="P142" s="57">
        <v>44621</v>
      </c>
    </row>
    <row r="143" spans="1:16" x14ac:dyDescent="0.35">
      <c r="A143" s="2" t="s">
        <v>86</v>
      </c>
      <c r="B143" s="2">
        <v>1</v>
      </c>
      <c r="C143" s="2">
        <v>2</v>
      </c>
      <c r="D143" s="2">
        <v>2</v>
      </c>
      <c r="E143" s="2">
        <v>1</v>
      </c>
      <c r="F143" s="2">
        <v>1</v>
      </c>
      <c r="G143" s="2" t="s">
        <v>37</v>
      </c>
      <c r="H143" s="2" t="s">
        <v>87</v>
      </c>
      <c r="I143" s="2" t="s">
        <v>93</v>
      </c>
      <c r="J143" s="2">
        <v>710209</v>
      </c>
      <c r="K143" s="2" t="s">
        <v>76</v>
      </c>
      <c r="L143" s="2" t="s">
        <v>77</v>
      </c>
      <c r="M143" s="2" t="s">
        <v>77</v>
      </c>
      <c r="N143" s="2">
        <v>3</v>
      </c>
      <c r="O143" s="2">
        <v>2022</v>
      </c>
      <c r="P143" s="57">
        <v>44621</v>
      </c>
    </row>
    <row r="144" spans="1:16" x14ac:dyDescent="0.35">
      <c r="A144" s="2" t="s">
        <v>86</v>
      </c>
      <c r="B144" s="2">
        <v>1</v>
      </c>
      <c r="C144" s="2">
        <v>1</v>
      </c>
      <c r="D144" s="2">
        <v>1</v>
      </c>
      <c r="E144" s="2">
        <v>1</v>
      </c>
      <c r="F144" s="2">
        <v>1</v>
      </c>
      <c r="G144" s="2" t="s">
        <v>42</v>
      </c>
      <c r="H144" s="2" t="s">
        <v>87</v>
      </c>
      <c r="I144" s="2" t="s">
        <v>93</v>
      </c>
      <c r="J144" s="2">
        <v>710209</v>
      </c>
      <c r="K144" s="2" t="s">
        <v>76</v>
      </c>
      <c r="L144" s="2" t="s">
        <v>77</v>
      </c>
      <c r="M144" s="2" t="s">
        <v>77</v>
      </c>
      <c r="N144" s="2">
        <v>3</v>
      </c>
      <c r="O144" s="2">
        <v>2022</v>
      </c>
      <c r="P144" s="57">
        <v>44621</v>
      </c>
    </row>
    <row r="145" spans="1:16" x14ac:dyDescent="0.35">
      <c r="A145" s="2" t="s">
        <v>88</v>
      </c>
      <c r="B145" s="2">
        <v>2</v>
      </c>
      <c r="C145" s="2">
        <v>2</v>
      </c>
      <c r="D145" s="2">
        <v>2</v>
      </c>
      <c r="E145" s="2">
        <v>2</v>
      </c>
      <c r="F145" s="2">
        <v>2</v>
      </c>
      <c r="G145" s="2" t="s">
        <v>42</v>
      </c>
      <c r="H145" s="2" t="s">
        <v>74</v>
      </c>
      <c r="I145" s="2" t="s">
        <v>93</v>
      </c>
      <c r="J145" s="2">
        <v>710209</v>
      </c>
      <c r="K145" s="2" t="s">
        <v>76</v>
      </c>
      <c r="L145" s="2" t="s">
        <v>77</v>
      </c>
      <c r="M145" s="2" t="s">
        <v>77</v>
      </c>
      <c r="N145" s="2">
        <v>3</v>
      </c>
      <c r="O145" s="2">
        <v>2022</v>
      </c>
      <c r="P145" s="57">
        <v>44621</v>
      </c>
    </row>
    <row r="146" spans="1:16" x14ac:dyDescent="0.35">
      <c r="A146" s="2" t="s">
        <v>78</v>
      </c>
      <c r="B146" s="2">
        <v>1</v>
      </c>
      <c r="C146" s="2">
        <v>1</v>
      </c>
      <c r="D146" s="2">
        <v>1</v>
      </c>
      <c r="E146" s="2">
        <v>1</v>
      </c>
      <c r="F146" s="2">
        <v>1</v>
      </c>
      <c r="G146" s="2" t="s">
        <v>37</v>
      </c>
      <c r="H146" s="2" t="s">
        <v>74</v>
      </c>
      <c r="I146" s="2" t="s">
        <v>98</v>
      </c>
      <c r="J146" s="2">
        <v>710209</v>
      </c>
      <c r="K146" s="2" t="s">
        <v>76</v>
      </c>
      <c r="L146" s="2" t="s">
        <v>77</v>
      </c>
      <c r="M146" s="2" t="s">
        <v>77</v>
      </c>
      <c r="N146" s="2">
        <v>3</v>
      </c>
      <c r="O146" s="2">
        <v>2023</v>
      </c>
      <c r="P146" s="57">
        <v>44986</v>
      </c>
    </row>
    <row r="147" spans="1:16" x14ac:dyDescent="0.35">
      <c r="A147" s="2" t="s">
        <v>78</v>
      </c>
      <c r="B147" s="2">
        <v>3</v>
      </c>
      <c r="C147" s="2">
        <v>9</v>
      </c>
      <c r="D147" s="2">
        <v>9</v>
      </c>
      <c r="E147" s="2">
        <v>3</v>
      </c>
      <c r="F147" s="2">
        <v>1</v>
      </c>
      <c r="G147" s="2" t="s">
        <v>37</v>
      </c>
      <c r="H147" s="2" t="s">
        <v>74</v>
      </c>
      <c r="I147" s="2" t="s">
        <v>98</v>
      </c>
      <c r="J147" s="2">
        <v>710209</v>
      </c>
      <c r="K147" s="2" t="s">
        <v>76</v>
      </c>
      <c r="L147" s="2" t="s">
        <v>77</v>
      </c>
      <c r="M147" s="2" t="s">
        <v>77</v>
      </c>
      <c r="N147" s="2">
        <v>3</v>
      </c>
      <c r="O147" s="2">
        <v>2023</v>
      </c>
      <c r="P147" s="57">
        <v>44986</v>
      </c>
    </row>
    <row r="148" spans="1:16" x14ac:dyDescent="0.35">
      <c r="A148" s="2" t="s">
        <v>81</v>
      </c>
      <c r="B148" s="2">
        <v>2</v>
      </c>
      <c r="C148" s="2">
        <v>4</v>
      </c>
      <c r="D148" s="2">
        <v>4</v>
      </c>
      <c r="E148" s="2">
        <v>2</v>
      </c>
      <c r="F148" s="2">
        <v>2</v>
      </c>
      <c r="G148" s="2" t="s">
        <v>42</v>
      </c>
      <c r="H148" s="2" t="s">
        <v>74</v>
      </c>
      <c r="I148" s="2" t="s">
        <v>98</v>
      </c>
      <c r="J148" s="2">
        <v>710209</v>
      </c>
      <c r="K148" s="2" t="s">
        <v>76</v>
      </c>
      <c r="L148" s="2" t="s">
        <v>77</v>
      </c>
      <c r="M148" s="2" t="s">
        <v>77</v>
      </c>
      <c r="N148" s="2">
        <v>3</v>
      </c>
      <c r="O148" s="2">
        <v>2023</v>
      </c>
      <c r="P148" s="57">
        <v>44986</v>
      </c>
    </row>
    <row r="149" spans="1:16" x14ac:dyDescent="0.35">
      <c r="A149" s="2" t="s">
        <v>81</v>
      </c>
      <c r="B149" s="2">
        <v>1</v>
      </c>
      <c r="C149" s="2">
        <v>1</v>
      </c>
      <c r="D149" s="2">
        <v>1</v>
      </c>
      <c r="E149" s="2">
        <v>1</v>
      </c>
      <c r="F149" s="2">
        <v>1</v>
      </c>
      <c r="G149" s="2" t="s">
        <v>37</v>
      </c>
      <c r="H149" s="2" t="s">
        <v>74</v>
      </c>
      <c r="I149" s="2" t="s">
        <v>98</v>
      </c>
      <c r="J149" s="2">
        <v>710209</v>
      </c>
      <c r="K149" s="2" t="s">
        <v>76</v>
      </c>
      <c r="L149" s="2" t="s">
        <v>77</v>
      </c>
      <c r="M149" s="2" t="s">
        <v>77</v>
      </c>
      <c r="N149" s="2">
        <v>3</v>
      </c>
      <c r="O149" s="2">
        <v>2023</v>
      </c>
      <c r="P149" s="57">
        <v>44986</v>
      </c>
    </row>
    <row r="150" spans="1:16" x14ac:dyDescent="0.35">
      <c r="A150" s="2" t="s">
        <v>82</v>
      </c>
      <c r="B150" s="2">
        <v>1</v>
      </c>
      <c r="C150" s="2">
        <v>1</v>
      </c>
      <c r="D150" s="2">
        <v>1</v>
      </c>
      <c r="E150" s="2">
        <v>1</v>
      </c>
      <c r="F150" s="2">
        <v>1</v>
      </c>
      <c r="G150" s="2" t="s">
        <v>40</v>
      </c>
      <c r="H150" s="2" t="s">
        <v>83</v>
      </c>
      <c r="I150" s="2" t="s">
        <v>98</v>
      </c>
      <c r="J150" s="2">
        <v>710209</v>
      </c>
      <c r="K150" s="2" t="s">
        <v>76</v>
      </c>
      <c r="L150" s="2" t="s">
        <v>77</v>
      </c>
      <c r="M150" s="2" t="s">
        <v>77</v>
      </c>
      <c r="N150" s="2">
        <v>3</v>
      </c>
      <c r="O150" s="2">
        <v>2023</v>
      </c>
      <c r="P150" s="57">
        <v>44986</v>
      </c>
    </row>
    <row r="151" spans="1:16" x14ac:dyDescent="0.35">
      <c r="A151" s="2" t="s">
        <v>94</v>
      </c>
      <c r="B151" s="2">
        <v>1</v>
      </c>
      <c r="C151" s="2">
        <v>2</v>
      </c>
      <c r="D151" s="2">
        <v>2</v>
      </c>
      <c r="E151" s="2">
        <v>1</v>
      </c>
      <c r="F151" s="2">
        <v>1</v>
      </c>
      <c r="G151" s="2" t="s">
        <v>37</v>
      </c>
      <c r="H151" s="2" t="s">
        <v>74</v>
      </c>
      <c r="I151" s="2" t="s">
        <v>95</v>
      </c>
      <c r="J151" s="2">
        <v>750318</v>
      </c>
      <c r="K151" s="2" t="s">
        <v>76</v>
      </c>
      <c r="L151" s="2" t="s">
        <v>77</v>
      </c>
      <c r="M151" s="2" t="s">
        <v>77</v>
      </c>
      <c r="N151" s="2">
        <v>3</v>
      </c>
      <c r="O151" s="2">
        <v>2023</v>
      </c>
      <c r="P151" s="57">
        <v>44986</v>
      </c>
    </row>
    <row r="152" spans="1:16" x14ac:dyDescent="0.35">
      <c r="A152" s="2" t="s">
        <v>94</v>
      </c>
      <c r="B152" s="2">
        <v>1</v>
      </c>
      <c r="C152" s="2">
        <v>1</v>
      </c>
      <c r="D152" s="2">
        <v>1</v>
      </c>
      <c r="E152" s="2">
        <v>1</v>
      </c>
      <c r="F152" s="2">
        <v>1</v>
      </c>
      <c r="G152" s="2" t="s">
        <v>42</v>
      </c>
      <c r="H152" s="2" t="s">
        <v>74</v>
      </c>
      <c r="I152" s="2" t="s">
        <v>95</v>
      </c>
      <c r="J152" s="2">
        <v>750318</v>
      </c>
      <c r="K152" s="2" t="s">
        <v>76</v>
      </c>
      <c r="L152" s="2" t="s">
        <v>77</v>
      </c>
      <c r="M152" s="2" t="s">
        <v>77</v>
      </c>
      <c r="N152" s="2">
        <v>3</v>
      </c>
      <c r="O152" s="2">
        <v>2023</v>
      </c>
      <c r="P152" s="57">
        <v>44986</v>
      </c>
    </row>
    <row r="153" spans="1:16" x14ac:dyDescent="0.35">
      <c r="A153" s="2" t="s">
        <v>94</v>
      </c>
      <c r="B153" s="2">
        <v>2</v>
      </c>
      <c r="C153" s="2">
        <v>2</v>
      </c>
      <c r="D153" s="2">
        <v>2</v>
      </c>
      <c r="E153" s="2">
        <v>2</v>
      </c>
      <c r="F153" s="2">
        <v>2</v>
      </c>
      <c r="G153" s="2" t="s">
        <v>40</v>
      </c>
      <c r="H153" s="2" t="s">
        <v>74</v>
      </c>
      <c r="I153" s="2" t="s">
        <v>95</v>
      </c>
      <c r="J153" s="2">
        <v>750318</v>
      </c>
      <c r="K153" s="2" t="s">
        <v>76</v>
      </c>
      <c r="L153" s="2" t="s">
        <v>77</v>
      </c>
      <c r="M153" s="2" t="s">
        <v>77</v>
      </c>
      <c r="N153" s="2">
        <v>3</v>
      </c>
      <c r="O153" s="2">
        <v>2023</v>
      </c>
      <c r="P153" s="57">
        <v>44986</v>
      </c>
    </row>
    <row r="154" spans="1:16" x14ac:dyDescent="0.35">
      <c r="A154" s="2" t="s">
        <v>94</v>
      </c>
      <c r="B154" s="2">
        <v>1</v>
      </c>
      <c r="C154" s="2">
        <v>1</v>
      </c>
      <c r="D154" s="2">
        <v>1</v>
      </c>
      <c r="E154" s="2">
        <v>1</v>
      </c>
      <c r="F154" s="2">
        <v>1</v>
      </c>
      <c r="G154" s="2" t="s">
        <v>37</v>
      </c>
      <c r="H154" s="2" t="s">
        <v>74</v>
      </c>
      <c r="I154" s="2" t="s">
        <v>95</v>
      </c>
      <c r="J154" s="2">
        <v>750318</v>
      </c>
      <c r="K154" s="2" t="s">
        <v>76</v>
      </c>
      <c r="L154" s="2" t="s">
        <v>77</v>
      </c>
      <c r="M154" s="2" t="s">
        <v>77</v>
      </c>
      <c r="N154" s="2">
        <v>3</v>
      </c>
      <c r="O154" s="2">
        <v>2023</v>
      </c>
      <c r="P154" s="57">
        <v>44986</v>
      </c>
    </row>
    <row r="155" spans="1:16" x14ac:dyDescent="0.35">
      <c r="A155" s="2" t="s">
        <v>73</v>
      </c>
      <c r="B155" s="2">
        <v>4</v>
      </c>
      <c r="C155" s="2">
        <v>4</v>
      </c>
      <c r="D155" s="2">
        <v>4</v>
      </c>
      <c r="E155" s="2">
        <v>4</v>
      </c>
      <c r="F155" s="2">
        <v>1</v>
      </c>
      <c r="G155" s="2" t="s">
        <v>42</v>
      </c>
      <c r="H155" s="2" t="s">
        <v>74</v>
      </c>
      <c r="I155" s="2" t="s">
        <v>75</v>
      </c>
      <c r="J155" s="2">
        <v>498090</v>
      </c>
      <c r="K155" s="2" t="s">
        <v>76</v>
      </c>
      <c r="L155" s="2" t="s">
        <v>77</v>
      </c>
      <c r="M155" s="2" t="s">
        <v>77</v>
      </c>
      <c r="N155" s="2">
        <v>4</v>
      </c>
      <c r="O155" s="2">
        <v>2020</v>
      </c>
      <c r="P155" s="57">
        <v>43922</v>
      </c>
    </row>
    <row r="156" spans="1:16" x14ac:dyDescent="0.35">
      <c r="A156" s="2" t="s">
        <v>89</v>
      </c>
      <c r="B156" s="2">
        <v>1</v>
      </c>
      <c r="C156" s="2">
        <v>1</v>
      </c>
      <c r="D156" s="2">
        <v>1</v>
      </c>
      <c r="E156" s="2">
        <v>1</v>
      </c>
      <c r="F156" s="2">
        <v>1</v>
      </c>
      <c r="G156" s="2" t="s">
        <v>42</v>
      </c>
      <c r="H156" s="2" t="s">
        <v>87</v>
      </c>
      <c r="I156" s="2" t="s">
        <v>79</v>
      </c>
      <c r="J156" s="2">
        <v>710209</v>
      </c>
      <c r="K156" s="2" t="s">
        <v>76</v>
      </c>
      <c r="L156" s="2" t="s">
        <v>77</v>
      </c>
      <c r="M156" s="2" t="s">
        <v>77</v>
      </c>
      <c r="N156" s="2">
        <v>4</v>
      </c>
      <c r="O156" s="2">
        <v>2020</v>
      </c>
      <c r="P156" s="57">
        <v>43922</v>
      </c>
    </row>
    <row r="157" spans="1:16" x14ac:dyDescent="0.35">
      <c r="A157" s="2" t="s">
        <v>89</v>
      </c>
      <c r="B157" s="2">
        <v>2</v>
      </c>
      <c r="C157" s="2">
        <v>2</v>
      </c>
      <c r="D157" s="2">
        <v>2</v>
      </c>
      <c r="E157" s="2">
        <v>2</v>
      </c>
      <c r="F157" s="2">
        <v>2</v>
      </c>
      <c r="G157" s="2" t="s">
        <v>42</v>
      </c>
      <c r="H157" s="2" t="s">
        <v>87</v>
      </c>
      <c r="I157" s="2" t="s">
        <v>79</v>
      </c>
      <c r="J157" s="2">
        <v>710209</v>
      </c>
      <c r="K157" s="2" t="s">
        <v>76</v>
      </c>
      <c r="L157" s="2" t="s">
        <v>77</v>
      </c>
      <c r="M157" s="2" t="s">
        <v>77</v>
      </c>
      <c r="N157" s="2">
        <v>4</v>
      </c>
      <c r="O157" s="2">
        <v>2020</v>
      </c>
      <c r="P157" s="57">
        <v>43922</v>
      </c>
    </row>
    <row r="158" spans="1:16" x14ac:dyDescent="0.35">
      <c r="A158" s="2" t="s">
        <v>78</v>
      </c>
      <c r="B158" s="2">
        <v>1</v>
      </c>
      <c r="C158" s="2">
        <v>2</v>
      </c>
      <c r="D158" s="2">
        <v>2</v>
      </c>
      <c r="E158" s="2">
        <v>1</v>
      </c>
      <c r="F158" s="2">
        <v>1</v>
      </c>
      <c r="G158" s="2" t="s">
        <v>42</v>
      </c>
      <c r="H158" s="2" t="s">
        <v>74</v>
      </c>
      <c r="I158" s="2" t="s">
        <v>79</v>
      </c>
      <c r="J158" s="2">
        <v>710209</v>
      </c>
      <c r="K158" s="2" t="s">
        <v>76</v>
      </c>
      <c r="L158" s="2" t="s">
        <v>77</v>
      </c>
      <c r="M158" s="2" t="s">
        <v>77</v>
      </c>
      <c r="N158" s="2">
        <v>4</v>
      </c>
      <c r="O158" s="2">
        <v>2020</v>
      </c>
      <c r="P158" s="57">
        <v>43922</v>
      </c>
    </row>
    <row r="159" spans="1:16" x14ac:dyDescent="0.35">
      <c r="A159" s="2" t="s">
        <v>78</v>
      </c>
      <c r="B159" s="2">
        <v>2</v>
      </c>
      <c r="C159" s="2">
        <v>4</v>
      </c>
      <c r="D159" s="2">
        <v>4</v>
      </c>
      <c r="E159" s="2">
        <v>2</v>
      </c>
      <c r="F159" s="2">
        <v>1</v>
      </c>
      <c r="G159" s="2" t="s">
        <v>42</v>
      </c>
      <c r="H159" s="2" t="s">
        <v>74</v>
      </c>
      <c r="I159" s="2" t="s">
        <v>79</v>
      </c>
      <c r="J159" s="2">
        <v>710209</v>
      </c>
      <c r="K159" s="2" t="s">
        <v>76</v>
      </c>
      <c r="L159" s="2" t="s">
        <v>77</v>
      </c>
      <c r="M159" s="2" t="s">
        <v>77</v>
      </c>
      <c r="N159" s="2">
        <v>4</v>
      </c>
      <c r="O159" s="2">
        <v>2020</v>
      </c>
      <c r="P159" s="57">
        <v>43922</v>
      </c>
    </row>
    <row r="160" spans="1:16" x14ac:dyDescent="0.35">
      <c r="A160" s="2" t="s">
        <v>108</v>
      </c>
      <c r="B160" s="2">
        <v>1</v>
      </c>
      <c r="C160" s="2">
        <v>2</v>
      </c>
      <c r="D160" s="2">
        <v>2</v>
      </c>
      <c r="E160" s="2">
        <v>1</v>
      </c>
      <c r="F160" s="2">
        <v>1</v>
      </c>
      <c r="G160" s="2" t="s">
        <v>40</v>
      </c>
      <c r="H160" s="2" t="s">
        <v>109</v>
      </c>
      <c r="I160" s="2" t="s">
        <v>79</v>
      </c>
      <c r="J160" s="2">
        <v>710209</v>
      </c>
      <c r="K160" s="2" t="s">
        <v>76</v>
      </c>
      <c r="L160" s="2" t="s">
        <v>77</v>
      </c>
      <c r="M160" s="2" t="s">
        <v>77</v>
      </c>
      <c r="N160" s="2">
        <v>4</v>
      </c>
      <c r="O160" s="2">
        <v>2020</v>
      </c>
      <c r="P160" s="57">
        <v>43922</v>
      </c>
    </row>
    <row r="161" spans="1:16" x14ac:dyDescent="0.35">
      <c r="A161" s="2" t="s">
        <v>92</v>
      </c>
      <c r="B161" s="2">
        <v>3</v>
      </c>
      <c r="C161" s="2">
        <v>4</v>
      </c>
      <c r="D161" s="2">
        <v>4</v>
      </c>
      <c r="E161" s="2">
        <v>3</v>
      </c>
      <c r="F161" s="2">
        <v>3</v>
      </c>
      <c r="G161" s="2" t="s">
        <v>42</v>
      </c>
      <c r="H161" s="2" t="s">
        <v>74</v>
      </c>
      <c r="I161" s="2" t="s">
        <v>79</v>
      </c>
      <c r="J161" s="2">
        <v>710209</v>
      </c>
      <c r="K161" s="2" t="s">
        <v>76</v>
      </c>
      <c r="L161" s="2" t="s">
        <v>77</v>
      </c>
      <c r="M161" s="2" t="s">
        <v>77</v>
      </c>
      <c r="N161" s="2">
        <v>4</v>
      </c>
      <c r="O161" s="2">
        <v>2020</v>
      </c>
      <c r="P161" s="57">
        <v>43922</v>
      </c>
    </row>
    <row r="162" spans="1:16" x14ac:dyDescent="0.35">
      <c r="A162" s="2" t="s">
        <v>81</v>
      </c>
      <c r="B162" s="2">
        <v>4</v>
      </c>
      <c r="C162" s="2">
        <v>6</v>
      </c>
      <c r="D162" s="2">
        <v>6</v>
      </c>
      <c r="E162" s="2">
        <v>4</v>
      </c>
      <c r="F162" s="2">
        <v>1</v>
      </c>
      <c r="G162" s="2" t="s">
        <v>42</v>
      </c>
      <c r="H162" s="2" t="s">
        <v>74</v>
      </c>
      <c r="I162" s="2" t="s">
        <v>79</v>
      </c>
      <c r="J162" s="2">
        <v>710209</v>
      </c>
      <c r="K162" s="2" t="s">
        <v>76</v>
      </c>
      <c r="L162" s="2" t="s">
        <v>77</v>
      </c>
      <c r="M162" s="2" t="s">
        <v>77</v>
      </c>
      <c r="N162" s="2">
        <v>4</v>
      </c>
      <c r="O162" s="2">
        <v>2020</v>
      </c>
      <c r="P162" s="57">
        <v>43922</v>
      </c>
    </row>
    <row r="163" spans="1:16" x14ac:dyDescent="0.35">
      <c r="A163" s="2" t="s">
        <v>82</v>
      </c>
      <c r="B163" s="2">
        <v>3</v>
      </c>
      <c r="C163" s="2">
        <v>3</v>
      </c>
      <c r="D163" s="2">
        <v>3</v>
      </c>
      <c r="E163" s="2">
        <v>3</v>
      </c>
      <c r="F163" s="2">
        <v>1</v>
      </c>
      <c r="G163" s="2" t="s">
        <v>42</v>
      </c>
      <c r="H163" s="2" t="s">
        <v>83</v>
      </c>
      <c r="I163" s="2" t="s">
        <v>85</v>
      </c>
      <c r="J163" s="2">
        <v>555141</v>
      </c>
      <c r="K163" s="2" t="s">
        <v>76</v>
      </c>
      <c r="L163" s="2" t="s">
        <v>77</v>
      </c>
      <c r="M163" s="2" t="s">
        <v>77</v>
      </c>
      <c r="N163" s="2">
        <v>4</v>
      </c>
      <c r="O163" s="2">
        <v>2020</v>
      </c>
      <c r="P163" s="57">
        <v>43922</v>
      </c>
    </row>
    <row r="164" spans="1:16" x14ac:dyDescent="0.35">
      <c r="A164" s="2" t="s">
        <v>82</v>
      </c>
      <c r="B164" s="2">
        <v>3</v>
      </c>
      <c r="C164" s="2">
        <v>4</v>
      </c>
      <c r="D164" s="2">
        <v>4</v>
      </c>
      <c r="E164" s="2">
        <v>3</v>
      </c>
      <c r="F164" s="2">
        <v>3</v>
      </c>
      <c r="G164" s="2" t="s">
        <v>40</v>
      </c>
      <c r="H164" s="2" t="s">
        <v>83</v>
      </c>
      <c r="I164" s="2" t="s">
        <v>79</v>
      </c>
      <c r="J164" s="2">
        <v>710209</v>
      </c>
      <c r="K164" s="2" t="s">
        <v>76</v>
      </c>
      <c r="L164" s="2" t="s">
        <v>77</v>
      </c>
      <c r="M164" s="2" t="s">
        <v>77</v>
      </c>
      <c r="N164" s="2">
        <v>4</v>
      </c>
      <c r="O164" s="2">
        <v>2020</v>
      </c>
      <c r="P164" s="57">
        <v>43922</v>
      </c>
    </row>
    <row r="165" spans="1:16" x14ac:dyDescent="0.35">
      <c r="A165" s="2" t="s">
        <v>82</v>
      </c>
      <c r="B165" s="2">
        <v>1</v>
      </c>
      <c r="C165" s="2">
        <v>1</v>
      </c>
      <c r="D165" s="2">
        <v>1</v>
      </c>
      <c r="E165" s="2">
        <v>1</v>
      </c>
      <c r="F165" s="2">
        <v>1</v>
      </c>
      <c r="G165" s="2" t="s">
        <v>40</v>
      </c>
      <c r="H165" s="2" t="s">
        <v>83</v>
      </c>
      <c r="I165" s="2" t="s">
        <v>79</v>
      </c>
      <c r="J165" s="2">
        <v>710209</v>
      </c>
      <c r="K165" s="2" t="s">
        <v>76</v>
      </c>
      <c r="L165" s="2" t="s">
        <v>77</v>
      </c>
      <c r="M165" s="2" t="s">
        <v>77</v>
      </c>
      <c r="N165" s="2">
        <v>4</v>
      </c>
      <c r="O165" s="2">
        <v>2020</v>
      </c>
      <c r="P165" s="57">
        <v>43922</v>
      </c>
    </row>
    <row r="166" spans="1:16" x14ac:dyDescent="0.35">
      <c r="A166" s="2" t="s">
        <v>82</v>
      </c>
      <c r="B166" s="2">
        <v>20</v>
      </c>
      <c r="C166" s="2">
        <v>25</v>
      </c>
      <c r="D166" s="2">
        <v>26</v>
      </c>
      <c r="E166" s="2">
        <v>21</v>
      </c>
      <c r="F166" s="2">
        <v>4</v>
      </c>
      <c r="G166" s="2" t="s">
        <v>42</v>
      </c>
      <c r="H166" s="2" t="s">
        <v>83</v>
      </c>
      <c r="I166" s="2" t="s">
        <v>79</v>
      </c>
      <c r="J166" s="2">
        <v>710209</v>
      </c>
      <c r="K166" s="2" t="s">
        <v>76</v>
      </c>
      <c r="L166" s="2" t="s">
        <v>77</v>
      </c>
      <c r="M166" s="2" t="s">
        <v>77</v>
      </c>
      <c r="N166" s="2">
        <v>4</v>
      </c>
      <c r="O166" s="2">
        <v>2020</v>
      </c>
      <c r="P166" s="57">
        <v>43922</v>
      </c>
    </row>
    <row r="167" spans="1:16" x14ac:dyDescent="0.35">
      <c r="A167" s="2" t="s">
        <v>94</v>
      </c>
      <c r="B167" s="2">
        <v>1</v>
      </c>
      <c r="C167" s="2">
        <v>2</v>
      </c>
      <c r="D167" s="2">
        <v>2</v>
      </c>
      <c r="E167" s="2">
        <v>1</v>
      </c>
      <c r="F167" s="2">
        <v>1</v>
      </c>
      <c r="G167" s="2" t="s">
        <v>40</v>
      </c>
      <c r="H167" s="2" t="s">
        <v>74</v>
      </c>
      <c r="I167" s="2" t="s">
        <v>95</v>
      </c>
      <c r="J167" s="2">
        <v>750318</v>
      </c>
      <c r="K167" s="2" t="s">
        <v>76</v>
      </c>
      <c r="L167" s="2" t="s">
        <v>77</v>
      </c>
      <c r="M167" s="2" t="s">
        <v>77</v>
      </c>
      <c r="N167" s="2">
        <v>4</v>
      </c>
      <c r="O167" s="2">
        <v>2020</v>
      </c>
      <c r="P167" s="57">
        <v>43922</v>
      </c>
    </row>
    <row r="168" spans="1:16" x14ac:dyDescent="0.35">
      <c r="A168" s="2" t="s">
        <v>94</v>
      </c>
      <c r="B168" s="2">
        <v>2</v>
      </c>
      <c r="C168" s="2">
        <v>3</v>
      </c>
      <c r="D168" s="2">
        <v>3</v>
      </c>
      <c r="E168" s="2">
        <v>2</v>
      </c>
      <c r="F168" s="2">
        <v>2</v>
      </c>
      <c r="G168" s="2" t="s">
        <v>40</v>
      </c>
      <c r="H168" s="2" t="s">
        <v>74</v>
      </c>
      <c r="I168" s="2" t="s">
        <v>95</v>
      </c>
      <c r="J168" s="2">
        <v>750318</v>
      </c>
      <c r="K168" s="2" t="s">
        <v>76</v>
      </c>
      <c r="L168" s="2" t="s">
        <v>77</v>
      </c>
      <c r="M168" s="2" t="s">
        <v>77</v>
      </c>
      <c r="N168" s="2">
        <v>4</v>
      </c>
      <c r="O168" s="2">
        <v>2020</v>
      </c>
      <c r="P168" s="57">
        <v>43922</v>
      </c>
    </row>
    <row r="169" spans="1:16" x14ac:dyDescent="0.35">
      <c r="A169" s="2" t="s">
        <v>94</v>
      </c>
      <c r="B169" s="2">
        <v>6</v>
      </c>
      <c r="C169" s="2">
        <v>9</v>
      </c>
      <c r="D169" s="2">
        <v>9</v>
      </c>
      <c r="E169" s="2">
        <v>6</v>
      </c>
      <c r="F169" s="2">
        <v>2</v>
      </c>
      <c r="G169" s="2" t="s">
        <v>42</v>
      </c>
      <c r="H169" s="2" t="s">
        <v>74</v>
      </c>
      <c r="I169" s="2" t="s">
        <v>95</v>
      </c>
      <c r="J169" s="2">
        <v>750318</v>
      </c>
      <c r="K169" s="2" t="s">
        <v>76</v>
      </c>
      <c r="L169" s="2" t="s">
        <v>77</v>
      </c>
      <c r="M169" s="2" t="s">
        <v>77</v>
      </c>
      <c r="N169" s="2">
        <v>4</v>
      </c>
      <c r="O169" s="2">
        <v>2020</v>
      </c>
      <c r="P169" s="57">
        <v>43922</v>
      </c>
    </row>
    <row r="170" spans="1:16" x14ac:dyDescent="0.35">
      <c r="A170" s="2" t="s">
        <v>88</v>
      </c>
      <c r="B170" s="2">
        <v>4</v>
      </c>
      <c r="C170" s="2">
        <v>5</v>
      </c>
      <c r="D170" s="2">
        <v>5</v>
      </c>
      <c r="E170" s="2">
        <v>4</v>
      </c>
      <c r="F170" s="2">
        <v>1</v>
      </c>
      <c r="G170" s="2" t="s">
        <v>42</v>
      </c>
      <c r="H170" s="2" t="s">
        <v>74</v>
      </c>
      <c r="I170" s="2" t="s">
        <v>79</v>
      </c>
      <c r="J170" s="2">
        <v>710209</v>
      </c>
      <c r="K170" s="2" t="s">
        <v>76</v>
      </c>
      <c r="L170" s="2" t="s">
        <v>77</v>
      </c>
      <c r="M170" s="2" t="s">
        <v>77</v>
      </c>
      <c r="N170" s="2">
        <v>4</v>
      </c>
      <c r="O170" s="2">
        <v>2020</v>
      </c>
      <c r="P170" s="57">
        <v>43922</v>
      </c>
    </row>
    <row r="171" spans="1:16" x14ac:dyDescent="0.35">
      <c r="A171" s="2" t="s">
        <v>99</v>
      </c>
      <c r="B171" s="2">
        <v>1</v>
      </c>
      <c r="C171" s="2">
        <v>2</v>
      </c>
      <c r="D171" s="2">
        <v>2</v>
      </c>
      <c r="E171" s="2">
        <v>1</v>
      </c>
      <c r="F171" s="2">
        <v>1</v>
      </c>
      <c r="G171" s="2" t="s">
        <v>37</v>
      </c>
      <c r="H171" s="2" t="s">
        <v>74</v>
      </c>
      <c r="I171" s="2" t="s">
        <v>100</v>
      </c>
      <c r="J171" s="2">
        <v>758287</v>
      </c>
      <c r="K171" s="2" t="s">
        <v>76</v>
      </c>
      <c r="L171" s="2" t="s">
        <v>77</v>
      </c>
      <c r="M171" s="2" t="s">
        <v>77</v>
      </c>
      <c r="N171" s="2">
        <v>4</v>
      </c>
      <c r="O171" s="2">
        <v>2021</v>
      </c>
      <c r="P171" s="57">
        <v>44287</v>
      </c>
    </row>
    <row r="172" spans="1:16" x14ac:dyDescent="0.35">
      <c r="A172" s="2" t="s">
        <v>102</v>
      </c>
      <c r="B172" s="2">
        <v>1</v>
      </c>
      <c r="C172" s="2">
        <v>1</v>
      </c>
      <c r="D172" s="2">
        <v>1</v>
      </c>
      <c r="E172" s="2">
        <v>1</v>
      </c>
      <c r="F172" s="2">
        <v>1</v>
      </c>
      <c r="G172" s="2" t="s">
        <v>37</v>
      </c>
      <c r="H172" s="2" t="s">
        <v>74</v>
      </c>
      <c r="I172" s="2" t="s">
        <v>79</v>
      </c>
      <c r="J172" s="2">
        <v>710209</v>
      </c>
      <c r="K172" s="2" t="s">
        <v>76</v>
      </c>
      <c r="L172" s="2" t="s">
        <v>77</v>
      </c>
      <c r="M172" s="2" t="s">
        <v>77</v>
      </c>
      <c r="N172" s="2">
        <v>4</v>
      </c>
      <c r="O172" s="2">
        <v>2021</v>
      </c>
      <c r="P172" s="57">
        <v>44287</v>
      </c>
    </row>
    <row r="173" spans="1:16" x14ac:dyDescent="0.35">
      <c r="A173" s="2" t="s">
        <v>102</v>
      </c>
      <c r="B173" s="2">
        <v>1</v>
      </c>
      <c r="C173" s="2">
        <v>2</v>
      </c>
      <c r="D173" s="2">
        <v>2</v>
      </c>
      <c r="E173" s="2">
        <v>1</v>
      </c>
      <c r="F173" s="2">
        <v>1</v>
      </c>
      <c r="G173" s="2" t="s">
        <v>37</v>
      </c>
      <c r="H173" s="2" t="s">
        <v>74</v>
      </c>
      <c r="I173" s="2" t="s">
        <v>79</v>
      </c>
      <c r="J173" s="2">
        <v>710209</v>
      </c>
      <c r="K173" s="2" t="s">
        <v>76</v>
      </c>
      <c r="L173" s="2" t="s">
        <v>77</v>
      </c>
      <c r="M173" s="2" t="s">
        <v>77</v>
      </c>
      <c r="N173" s="2">
        <v>4</v>
      </c>
      <c r="O173" s="2">
        <v>2021</v>
      </c>
      <c r="P173" s="57">
        <v>44287</v>
      </c>
    </row>
    <row r="174" spans="1:16" x14ac:dyDescent="0.35">
      <c r="A174" s="2" t="s">
        <v>81</v>
      </c>
      <c r="B174" s="2">
        <v>1</v>
      </c>
      <c r="C174" s="2">
        <v>2</v>
      </c>
      <c r="D174" s="2">
        <v>2</v>
      </c>
      <c r="E174" s="2">
        <v>1</v>
      </c>
      <c r="F174" s="2">
        <v>1</v>
      </c>
      <c r="G174" s="2" t="s">
        <v>37</v>
      </c>
      <c r="H174" s="2" t="s">
        <v>74</v>
      </c>
      <c r="I174" s="2" t="s">
        <v>79</v>
      </c>
      <c r="J174" s="2">
        <v>710209</v>
      </c>
      <c r="K174" s="2" t="s">
        <v>76</v>
      </c>
      <c r="L174" s="2" t="s">
        <v>77</v>
      </c>
      <c r="M174" s="2" t="s">
        <v>77</v>
      </c>
      <c r="N174" s="2">
        <v>4</v>
      </c>
      <c r="O174" s="2">
        <v>2021</v>
      </c>
      <c r="P174" s="57">
        <v>44287</v>
      </c>
    </row>
    <row r="175" spans="1:16" x14ac:dyDescent="0.35">
      <c r="A175" s="2" t="s">
        <v>82</v>
      </c>
      <c r="B175" s="2">
        <v>1</v>
      </c>
      <c r="C175" s="2">
        <v>1</v>
      </c>
      <c r="D175" s="2">
        <v>1</v>
      </c>
      <c r="E175" s="2">
        <v>1</v>
      </c>
      <c r="F175" s="2">
        <v>1</v>
      </c>
      <c r="G175" s="2" t="s">
        <v>42</v>
      </c>
      <c r="H175" s="2" t="s">
        <v>83</v>
      </c>
      <c r="I175" s="2" t="s">
        <v>79</v>
      </c>
      <c r="J175" s="2">
        <v>710209</v>
      </c>
      <c r="K175" s="2" t="s">
        <v>76</v>
      </c>
      <c r="L175" s="2" t="s">
        <v>77</v>
      </c>
      <c r="M175" s="2" t="s">
        <v>77</v>
      </c>
      <c r="N175" s="2">
        <v>4</v>
      </c>
      <c r="O175" s="2">
        <v>2021</v>
      </c>
      <c r="P175" s="57">
        <v>44287</v>
      </c>
    </row>
    <row r="176" spans="1:16" x14ac:dyDescent="0.35">
      <c r="A176" s="2" t="s">
        <v>82</v>
      </c>
      <c r="B176" s="2">
        <v>2</v>
      </c>
      <c r="C176" s="2">
        <v>2</v>
      </c>
      <c r="D176" s="2">
        <v>2</v>
      </c>
      <c r="E176" s="2">
        <v>2</v>
      </c>
      <c r="F176" s="2">
        <v>1</v>
      </c>
      <c r="G176" s="2" t="s">
        <v>42</v>
      </c>
      <c r="H176" s="2" t="s">
        <v>83</v>
      </c>
      <c r="I176" s="2" t="s">
        <v>79</v>
      </c>
      <c r="J176" s="2">
        <v>710209</v>
      </c>
      <c r="K176" s="2" t="s">
        <v>76</v>
      </c>
      <c r="L176" s="2" t="s">
        <v>77</v>
      </c>
      <c r="M176" s="2" t="s">
        <v>77</v>
      </c>
      <c r="N176" s="2">
        <v>4</v>
      </c>
      <c r="O176" s="2">
        <v>2021</v>
      </c>
      <c r="P176" s="57">
        <v>44287</v>
      </c>
    </row>
    <row r="177" spans="1:16" x14ac:dyDescent="0.35">
      <c r="A177" s="2" t="s">
        <v>94</v>
      </c>
      <c r="B177" s="2">
        <v>3</v>
      </c>
      <c r="C177" s="2">
        <v>4</v>
      </c>
      <c r="D177" s="2">
        <v>4</v>
      </c>
      <c r="E177" s="2">
        <v>3</v>
      </c>
      <c r="F177" s="2">
        <v>3</v>
      </c>
      <c r="G177" s="2" t="s">
        <v>42</v>
      </c>
      <c r="H177" s="2" t="s">
        <v>74</v>
      </c>
      <c r="I177" s="2" t="s">
        <v>95</v>
      </c>
      <c r="J177" s="2">
        <v>750318</v>
      </c>
      <c r="K177" s="2" t="s">
        <v>76</v>
      </c>
      <c r="L177" s="2" t="s">
        <v>77</v>
      </c>
      <c r="M177" s="2" t="s">
        <v>77</v>
      </c>
      <c r="N177" s="2">
        <v>4</v>
      </c>
      <c r="O177" s="2">
        <v>2021</v>
      </c>
      <c r="P177" s="57">
        <v>44287</v>
      </c>
    </row>
    <row r="178" spans="1:16" x14ac:dyDescent="0.35">
      <c r="A178" s="2" t="s">
        <v>94</v>
      </c>
      <c r="B178" s="2">
        <v>1</v>
      </c>
      <c r="C178" s="2">
        <v>2</v>
      </c>
      <c r="D178" s="2">
        <v>2</v>
      </c>
      <c r="E178" s="2">
        <v>1</v>
      </c>
      <c r="F178" s="2">
        <v>1</v>
      </c>
      <c r="G178" s="2" t="s">
        <v>37</v>
      </c>
      <c r="H178" s="2" t="s">
        <v>74</v>
      </c>
      <c r="I178" s="2" t="s">
        <v>95</v>
      </c>
      <c r="J178" s="2">
        <v>750318</v>
      </c>
      <c r="K178" s="2" t="s">
        <v>76</v>
      </c>
      <c r="L178" s="2" t="s">
        <v>77</v>
      </c>
      <c r="M178" s="2" t="s">
        <v>77</v>
      </c>
      <c r="N178" s="2">
        <v>4</v>
      </c>
      <c r="O178" s="2">
        <v>2021</v>
      </c>
      <c r="P178" s="57">
        <v>44287</v>
      </c>
    </row>
    <row r="179" spans="1:16" x14ac:dyDescent="0.35">
      <c r="A179" s="2" t="s">
        <v>94</v>
      </c>
      <c r="B179" s="2">
        <v>1</v>
      </c>
      <c r="C179" s="2">
        <v>3</v>
      </c>
      <c r="D179" s="2">
        <v>4</v>
      </c>
      <c r="E179" s="2">
        <v>2</v>
      </c>
      <c r="F179" s="2">
        <v>1</v>
      </c>
      <c r="G179" s="2" t="s">
        <v>37</v>
      </c>
      <c r="H179" s="2" t="s">
        <v>74</v>
      </c>
      <c r="I179" s="2" t="s">
        <v>95</v>
      </c>
      <c r="J179" s="2">
        <v>750318</v>
      </c>
      <c r="K179" s="2" t="s">
        <v>76</v>
      </c>
      <c r="L179" s="2" t="s">
        <v>77</v>
      </c>
      <c r="M179" s="2" t="s">
        <v>77</v>
      </c>
      <c r="N179" s="2">
        <v>4</v>
      </c>
      <c r="O179" s="2">
        <v>2021</v>
      </c>
      <c r="P179" s="57">
        <v>44287</v>
      </c>
    </row>
    <row r="180" spans="1:16" x14ac:dyDescent="0.35">
      <c r="A180" s="2" t="s">
        <v>94</v>
      </c>
      <c r="B180" s="2">
        <v>1</v>
      </c>
      <c r="C180" s="2">
        <v>1</v>
      </c>
      <c r="D180" s="2">
        <v>1</v>
      </c>
      <c r="E180" s="2">
        <v>1</v>
      </c>
      <c r="F180" s="2">
        <v>1</v>
      </c>
      <c r="G180" s="2" t="s">
        <v>37</v>
      </c>
      <c r="H180" s="2" t="s">
        <v>74</v>
      </c>
      <c r="I180" s="2" t="s">
        <v>95</v>
      </c>
      <c r="J180" s="2">
        <v>750318</v>
      </c>
      <c r="K180" s="2" t="s">
        <v>76</v>
      </c>
      <c r="L180" s="2" t="s">
        <v>77</v>
      </c>
      <c r="M180" s="2" t="s">
        <v>77</v>
      </c>
      <c r="N180" s="2">
        <v>4</v>
      </c>
      <c r="O180" s="2">
        <v>2021</v>
      </c>
      <c r="P180" s="57">
        <v>44287</v>
      </c>
    </row>
    <row r="181" spans="1:16" x14ac:dyDescent="0.35">
      <c r="A181" s="2" t="s">
        <v>84</v>
      </c>
      <c r="B181" s="2">
        <v>1</v>
      </c>
      <c r="C181" s="2">
        <v>1</v>
      </c>
      <c r="D181" s="2">
        <v>1</v>
      </c>
      <c r="E181" s="2">
        <v>1</v>
      </c>
      <c r="F181" s="2">
        <v>1</v>
      </c>
      <c r="G181" s="2" t="s">
        <v>42</v>
      </c>
      <c r="H181" s="2" t="s">
        <v>74</v>
      </c>
      <c r="I181" s="2" t="s">
        <v>75</v>
      </c>
      <c r="J181" s="2">
        <v>498090</v>
      </c>
      <c r="K181" s="2" t="s">
        <v>76</v>
      </c>
      <c r="L181" s="2" t="s">
        <v>77</v>
      </c>
      <c r="M181" s="2" t="s">
        <v>77</v>
      </c>
      <c r="N181" s="2">
        <v>4</v>
      </c>
      <c r="O181" s="2">
        <v>2021</v>
      </c>
      <c r="P181" s="57">
        <v>44287</v>
      </c>
    </row>
    <row r="182" spans="1:16" x14ac:dyDescent="0.35">
      <c r="A182" s="2" t="s">
        <v>86</v>
      </c>
      <c r="B182" s="2">
        <v>0</v>
      </c>
      <c r="C182" s="2">
        <v>1</v>
      </c>
      <c r="D182" s="2">
        <v>2</v>
      </c>
      <c r="E182" s="2">
        <v>1</v>
      </c>
      <c r="F182" s="2">
        <v>1</v>
      </c>
      <c r="G182" s="2" t="s">
        <v>37</v>
      </c>
      <c r="H182" s="2" t="s">
        <v>87</v>
      </c>
      <c r="I182" s="2" t="s">
        <v>79</v>
      </c>
      <c r="J182" s="2">
        <v>710209</v>
      </c>
      <c r="K182" s="2" t="s">
        <v>76</v>
      </c>
      <c r="L182" s="2" t="s">
        <v>77</v>
      </c>
      <c r="M182" s="2" t="s">
        <v>77</v>
      </c>
      <c r="N182" s="2">
        <v>4</v>
      </c>
      <c r="O182" s="2">
        <v>2021</v>
      </c>
      <c r="P182" s="57">
        <v>44287</v>
      </c>
    </row>
    <row r="183" spans="1:16" x14ac:dyDescent="0.35">
      <c r="A183" s="2" t="s">
        <v>86</v>
      </c>
      <c r="B183" s="2">
        <v>1</v>
      </c>
      <c r="C183" s="2">
        <v>2</v>
      </c>
      <c r="D183" s="2">
        <v>2</v>
      </c>
      <c r="E183" s="2">
        <v>1</v>
      </c>
      <c r="F183" s="2">
        <v>1</v>
      </c>
      <c r="G183" s="2" t="s">
        <v>37</v>
      </c>
      <c r="H183" s="2" t="s">
        <v>87</v>
      </c>
      <c r="I183" s="2" t="s">
        <v>79</v>
      </c>
      <c r="J183" s="2">
        <v>710209</v>
      </c>
      <c r="K183" s="2" t="s">
        <v>76</v>
      </c>
      <c r="L183" s="2" t="s">
        <v>77</v>
      </c>
      <c r="M183" s="2" t="s">
        <v>77</v>
      </c>
      <c r="N183" s="2">
        <v>4</v>
      </c>
      <c r="O183" s="2">
        <v>2021</v>
      </c>
      <c r="P183" s="57">
        <v>44287</v>
      </c>
    </row>
    <row r="184" spans="1:16" x14ac:dyDescent="0.35">
      <c r="A184" s="2" t="s">
        <v>86</v>
      </c>
      <c r="B184" s="2">
        <v>1</v>
      </c>
      <c r="C184" s="2">
        <v>1</v>
      </c>
      <c r="D184" s="2">
        <v>2</v>
      </c>
      <c r="E184" s="2">
        <v>2</v>
      </c>
      <c r="F184" s="2">
        <v>1</v>
      </c>
      <c r="G184" s="2" t="s">
        <v>37</v>
      </c>
      <c r="H184" s="2" t="s">
        <v>87</v>
      </c>
      <c r="I184" s="2" t="s">
        <v>79</v>
      </c>
      <c r="J184" s="2">
        <v>710209</v>
      </c>
      <c r="K184" s="2" t="s">
        <v>76</v>
      </c>
      <c r="L184" s="2" t="s">
        <v>77</v>
      </c>
      <c r="M184" s="2" t="s">
        <v>77</v>
      </c>
      <c r="N184" s="2">
        <v>4</v>
      </c>
      <c r="O184" s="2">
        <v>2021</v>
      </c>
      <c r="P184" s="57">
        <v>44287</v>
      </c>
    </row>
    <row r="185" spans="1:16" x14ac:dyDescent="0.35">
      <c r="A185" s="2" t="s">
        <v>86</v>
      </c>
      <c r="B185" s="2">
        <v>1</v>
      </c>
      <c r="C185" s="2">
        <v>1</v>
      </c>
      <c r="D185" s="2">
        <v>1</v>
      </c>
      <c r="E185" s="2">
        <v>1</v>
      </c>
      <c r="F185" s="2">
        <v>1</v>
      </c>
      <c r="G185" s="2" t="s">
        <v>42</v>
      </c>
      <c r="H185" s="2" t="s">
        <v>87</v>
      </c>
      <c r="I185" s="2" t="s">
        <v>79</v>
      </c>
      <c r="J185" s="2">
        <v>710209</v>
      </c>
      <c r="K185" s="2" t="s">
        <v>76</v>
      </c>
      <c r="L185" s="2" t="s">
        <v>77</v>
      </c>
      <c r="M185" s="2" t="s">
        <v>77</v>
      </c>
      <c r="N185" s="2">
        <v>4</v>
      </c>
      <c r="O185" s="2">
        <v>2021</v>
      </c>
      <c r="P185" s="57">
        <v>44287</v>
      </c>
    </row>
    <row r="186" spans="1:16" x14ac:dyDescent="0.35">
      <c r="A186" s="2" t="s">
        <v>78</v>
      </c>
      <c r="B186" s="2">
        <v>1</v>
      </c>
      <c r="C186" s="2">
        <v>1</v>
      </c>
      <c r="D186" s="2">
        <v>1</v>
      </c>
      <c r="E186" s="2">
        <v>1</v>
      </c>
      <c r="F186" s="2">
        <v>1</v>
      </c>
      <c r="G186" s="2" t="s">
        <v>42</v>
      </c>
      <c r="H186" s="2" t="s">
        <v>74</v>
      </c>
      <c r="I186" s="2" t="s">
        <v>93</v>
      </c>
      <c r="J186" s="2">
        <v>710209</v>
      </c>
      <c r="K186" s="2" t="s">
        <v>76</v>
      </c>
      <c r="L186" s="2" t="s">
        <v>77</v>
      </c>
      <c r="M186" s="2" t="s">
        <v>77</v>
      </c>
      <c r="N186" s="2">
        <v>4</v>
      </c>
      <c r="O186" s="2">
        <v>2022</v>
      </c>
      <c r="P186" s="57">
        <v>44652</v>
      </c>
    </row>
    <row r="187" spans="1:16" x14ac:dyDescent="0.35">
      <c r="A187" s="2" t="s">
        <v>78</v>
      </c>
      <c r="B187" s="2">
        <v>1</v>
      </c>
      <c r="C187" s="2">
        <v>1</v>
      </c>
      <c r="D187" s="2">
        <v>1</v>
      </c>
      <c r="E187" s="2">
        <v>1</v>
      </c>
      <c r="F187" s="2">
        <v>1</v>
      </c>
      <c r="G187" s="2" t="s">
        <v>42</v>
      </c>
      <c r="H187" s="2" t="s">
        <v>74</v>
      </c>
      <c r="I187" s="2" t="s">
        <v>93</v>
      </c>
      <c r="J187" s="2">
        <v>710209</v>
      </c>
      <c r="K187" s="2" t="s">
        <v>76</v>
      </c>
      <c r="L187" s="2" t="s">
        <v>77</v>
      </c>
      <c r="M187" s="2" t="s">
        <v>77</v>
      </c>
      <c r="N187" s="2">
        <v>4</v>
      </c>
      <c r="O187" s="2">
        <v>2022</v>
      </c>
      <c r="P187" s="57">
        <v>44652</v>
      </c>
    </row>
    <row r="188" spans="1:16" x14ac:dyDescent="0.35">
      <c r="A188" s="2" t="s">
        <v>80</v>
      </c>
      <c r="B188" s="2">
        <v>1</v>
      </c>
      <c r="C188" s="2">
        <v>1</v>
      </c>
      <c r="D188" s="2">
        <v>1</v>
      </c>
      <c r="E188" s="2">
        <v>1</v>
      </c>
      <c r="F188" s="2">
        <v>1</v>
      </c>
      <c r="G188" s="2" t="s">
        <v>37</v>
      </c>
      <c r="H188" s="2" t="s">
        <v>74</v>
      </c>
      <c r="I188" s="2" t="s">
        <v>93</v>
      </c>
      <c r="J188" s="2">
        <v>710209</v>
      </c>
      <c r="K188" s="2" t="s">
        <v>76</v>
      </c>
      <c r="L188" s="2" t="s">
        <v>77</v>
      </c>
      <c r="M188" s="2" t="s">
        <v>77</v>
      </c>
      <c r="N188" s="2">
        <v>4</v>
      </c>
      <c r="O188" s="2">
        <v>2022</v>
      </c>
      <c r="P188" s="57">
        <v>44652</v>
      </c>
    </row>
    <row r="189" spans="1:16" x14ac:dyDescent="0.35">
      <c r="A189" s="2" t="s">
        <v>81</v>
      </c>
      <c r="B189" s="2">
        <v>1</v>
      </c>
      <c r="C189" s="2">
        <v>2</v>
      </c>
      <c r="D189" s="2">
        <v>2</v>
      </c>
      <c r="E189" s="2">
        <v>1</v>
      </c>
      <c r="F189" s="2">
        <v>1</v>
      </c>
      <c r="G189" s="2" t="s">
        <v>37</v>
      </c>
      <c r="H189" s="2" t="s">
        <v>74</v>
      </c>
      <c r="I189" s="2" t="s">
        <v>93</v>
      </c>
      <c r="J189" s="2">
        <v>710209</v>
      </c>
      <c r="K189" s="2" t="s">
        <v>76</v>
      </c>
      <c r="L189" s="2" t="s">
        <v>77</v>
      </c>
      <c r="M189" s="2" t="s">
        <v>77</v>
      </c>
      <c r="N189" s="2">
        <v>4</v>
      </c>
      <c r="O189" s="2">
        <v>2022</v>
      </c>
      <c r="P189" s="57">
        <v>44652</v>
      </c>
    </row>
    <row r="190" spans="1:16" x14ac:dyDescent="0.35">
      <c r="A190" s="2" t="s">
        <v>81</v>
      </c>
      <c r="B190" s="2">
        <v>2</v>
      </c>
      <c r="C190" s="2">
        <v>2</v>
      </c>
      <c r="D190" s="2">
        <v>2</v>
      </c>
      <c r="E190" s="2">
        <v>2</v>
      </c>
      <c r="F190" s="2">
        <v>2</v>
      </c>
      <c r="G190" s="2" t="s">
        <v>42</v>
      </c>
      <c r="H190" s="2" t="s">
        <v>74</v>
      </c>
      <c r="I190" s="2" t="s">
        <v>93</v>
      </c>
      <c r="J190" s="2">
        <v>710209</v>
      </c>
      <c r="K190" s="2" t="s">
        <v>76</v>
      </c>
      <c r="L190" s="2" t="s">
        <v>77</v>
      </c>
      <c r="M190" s="2" t="s">
        <v>77</v>
      </c>
      <c r="N190" s="2">
        <v>4</v>
      </c>
      <c r="O190" s="2">
        <v>2022</v>
      </c>
      <c r="P190" s="57">
        <v>44652</v>
      </c>
    </row>
    <row r="191" spans="1:16" x14ac:dyDescent="0.35">
      <c r="A191" s="2" t="s">
        <v>81</v>
      </c>
      <c r="B191" s="2">
        <v>5</v>
      </c>
      <c r="C191" s="2">
        <v>11</v>
      </c>
      <c r="D191" s="2">
        <v>11</v>
      </c>
      <c r="E191" s="2">
        <v>5</v>
      </c>
      <c r="F191" s="2">
        <v>2</v>
      </c>
      <c r="G191" s="2" t="s">
        <v>37</v>
      </c>
      <c r="H191" s="2" t="s">
        <v>74</v>
      </c>
      <c r="I191" s="2" t="s">
        <v>93</v>
      </c>
      <c r="J191" s="2">
        <v>710209</v>
      </c>
      <c r="K191" s="2" t="s">
        <v>76</v>
      </c>
      <c r="L191" s="2" t="s">
        <v>77</v>
      </c>
      <c r="M191" s="2" t="s">
        <v>77</v>
      </c>
      <c r="N191" s="2">
        <v>4</v>
      </c>
      <c r="O191" s="2">
        <v>2022</v>
      </c>
      <c r="P191" s="57">
        <v>44652</v>
      </c>
    </row>
    <row r="192" spans="1:16" x14ac:dyDescent="0.35">
      <c r="A192" s="2" t="s">
        <v>81</v>
      </c>
      <c r="B192" s="2">
        <v>2</v>
      </c>
      <c r="C192" s="2">
        <v>4</v>
      </c>
      <c r="D192" s="2">
        <v>4</v>
      </c>
      <c r="E192" s="2">
        <v>2</v>
      </c>
      <c r="F192" s="2">
        <v>2</v>
      </c>
      <c r="G192" s="2" t="s">
        <v>42</v>
      </c>
      <c r="H192" s="2" t="s">
        <v>74</v>
      </c>
      <c r="I192" s="2" t="s">
        <v>93</v>
      </c>
      <c r="J192" s="2">
        <v>710209</v>
      </c>
      <c r="K192" s="2" t="s">
        <v>76</v>
      </c>
      <c r="L192" s="2" t="s">
        <v>77</v>
      </c>
      <c r="M192" s="2" t="s">
        <v>77</v>
      </c>
      <c r="N192" s="2">
        <v>4</v>
      </c>
      <c r="O192" s="2">
        <v>2022</v>
      </c>
      <c r="P192" s="57">
        <v>44652</v>
      </c>
    </row>
    <row r="193" spans="1:16" x14ac:dyDescent="0.35">
      <c r="A193" s="2" t="s">
        <v>82</v>
      </c>
      <c r="B193" s="2">
        <v>1</v>
      </c>
      <c r="C193" s="2">
        <v>1</v>
      </c>
      <c r="D193" s="2">
        <v>1</v>
      </c>
      <c r="E193" s="2">
        <v>1</v>
      </c>
      <c r="F193" s="2">
        <v>1</v>
      </c>
      <c r="G193" s="2" t="s">
        <v>42</v>
      </c>
      <c r="H193" s="2" t="s">
        <v>83</v>
      </c>
      <c r="I193" s="2" t="s">
        <v>85</v>
      </c>
      <c r="J193" s="2">
        <v>555141</v>
      </c>
      <c r="K193" s="2" t="s">
        <v>76</v>
      </c>
      <c r="L193" s="2" t="s">
        <v>77</v>
      </c>
      <c r="M193" s="2" t="s">
        <v>77</v>
      </c>
      <c r="N193" s="2">
        <v>4</v>
      </c>
      <c r="O193" s="2">
        <v>2022</v>
      </c>
      <c r="P193" s="57">
        <v>44652</v>
      </c>
    </row>
    <row r="194" spans="1:16" x14ac:dyDescent="0.35">
      <c r="A194" s="2" t="s">
        <v>94</v>
      </c>
      <c r="B194" s="2">
        <v>1</v>
      </c>
      <c r="C194" s="2">
        <v>2</v>
      </c>
      <c r="D194" s="2">
        <v>2</v>
      </c>
      <c r="E194" s="2">
        <v>1</v>
      </c>
      <c r="F194" s="2">
        <v>1</v>
      </c>
      <c r="G194" s="2" t="s">
        <v>40</v>
      </c>
      <c r="H194" s="2" t="s">
        <v>74</v>
      </c>
      <c r="I194" s="2" t="s">
        <v>95</v>
      </c>
      <c r="J194" s="2">
        <v>750318</v>
      </c>
      <c r="K194" s="2" t="s">
        <v>76</v>
      </c>
      <c r="L194" s="2" t="s">
        <v>77</v>
      </c>
      <c r="M194" s="2" t="s">
        <v>77</v>
      </c>
      <c r="N194" s="2">
        <v>4</v>
      </c>
      <c r="O194" s="2">
        <v>2022</v>
      </c>
      <c r="P194" s="57">
        <v>44652</v>
      </c>
    </row>
    <row r="195" spans="1:16" x14ac:dyDescent="0.35">
      <c r="A195" s="2" t="s">
        <v>94</v>
      </c>
      <c r="B195" s="2">
        <v>1</v>
      </c>
      <c r="C195" s="2">
        <v>1</v>
      </c>
      <c r="D195" s="2">
        <v>1</v>
      </c>
      <c r="E195" s="2">
        <v>1</v>
      </c>
      <c r="F195" s="2">
        <v>1</v>
      </c>
      <c r="G195" s="2" t="s">
        <v>42</v>
      </c>
      <c r="H195" s="2" t="s">
        <v>74</v>
      </c>
      <c r="I195" s="2" t="s">
        <v>95</v>
      </c>
      <c r="J195" s="2">
        <v>750318</v>
      </c>
      <c r="K195" s="2" t="s">
        <v>76</v>
      </c>
      <c r="L195" s="2" t="s">
        <v>77</v>
      </c>
      <c r="M195" s="2" t="s">
        <v>77</v>
      </c>
      <c r="N195" s="2">
        <v>4</v>
      </c>
      <c r="O195" s="2">
        <v>2022</v>
      </c>
      <c r="P195" s="57">
        <v>44652</v>
      </c>
    </row>
    <row r="196" spans="1:16" x14ac:dyDescent="0.35">
      <c r="A196" s="2" t="s">
        <v>84</v>
      </c>
      <c r="B196" s="2">
        <v>1</v>
      </c>
      <c r="C196" s="2">
        <v>1</v>
      </c>
      <c r="D196" s="2">
        <v>1</v>
      </c>
      <c r="E196" s="2">
        <v>1</v>
      </c>
      <c r="F196" s="2">
        <v>1</v>
      </c>
      <c r="G196" s="2" t="s">
        <v>42</v>
      </c>
      <c r="H196" s="2" t="s">
        <v>74</v>
      </c>
      <c r="I196" s="2" t="s">
        <v>85</v>
      </c>
      <c r="J196" s="2">
        <v>555141</v>
      </c>
      <c r="K196" s="2" t="s">
        <v>76</v>
      </c>
      <c r="L196" s="2" t="s">
        <v>77</v>
      </c>
      <c r="M196" s="2" t="s">
        <v>77</v>
      </c>
      <c r="N196" s="2">
        <v>4</v>
      </c>
      <c r="O196" s="2">
        <v>2022</v>
      </c>
      <c r="P196" s="57">
        <v>44652</v>
      </c>
    </row>
    <row r="197" spans="1:16" x14ac:dyDescent="0.35">
      <c r="A197" s="2" t="s">
        <v>97</v>
      </c>
      <c r="B197" s="2">
        <v>1</v>
      </c>
      <c r="C197" s="2">
        <v>1</v>
      </c>
      <c r="D197" s="2">
        <v>1</v>
      </c>
      <c r="E197" s="2">
        <v>1</v>
      </c>
      <c r="F197" s="2">
        <v>1</v>
      </c>
      <c r="G197" s="2" t="s">
        <v>42</v>
      </c>
      <c r="H197" s="2"/>
      <c r="I197" s="2" t="s">
        <v>97</v>
      </c>
      <c r="J197" s="2">
        <v>639813</v>
      </c>
      <c r="K197" s="2" t="s">
        <v>76</v>
      </c>
      <c r="L197" s="2" t="s">
        <v>77</v>
      </c>
      <c r="M197" s="2" t="s">
        <v>77</v>
      </c>
      <c r="N197" s="2">
        <v>4</v>
      </c>
      <c r="O197" s="2">
        <v>2022</v>
      </c>
      <c r="P197" s="57">
        <v>44652</v>
      </c>
    </row>
    <row r="198" spans="1:16" x14ac:dyDescent="0.35">
      <c r="A198" s="2" t="s">
        <v>86</v>
      </c>
      <c r="B198" s="2">
        <v>1</v>
      </c>
      <c r="C198" s="2">
        <v>2</v>
      </c>
      <c r="D198" s="2">
        <v>2</v>
      </c>
      <c r="E198" s="2">
        <v>1</v>
      </c>
      <c r="F198" s="2">
        <v>1</v>
      </c>
      <c r="G198" s="2" t="s">
        <v>42</v>
      </c>
      <c r="H198" s="2" t="s">
        <v>87</v>
      </c>
      <c r="I198" s="2" t="s">
        <v>93</v>
      </c>
      <c r="J198" s="2">
        <v>710209</v>
      </c>
      <c r="K198" s="2" t="s">
        <v>76</v>
      </c>
      <c r="L198" s="2" t="s">
        <v>77</v>
      </c>
      <c r="M198" s="2" t="s">
        <v>77</v>
      </c>
      <c r="N198" s="2">
        <v>4</v>
      </c>
      <c r="O198" s="2">
        <v>2022</v>
      </c>
      <c r="P198" s="57">
        <v>44652</v>
      </c>
    </row>
    <row r="199" spans="1:16" x14ac:dyDescent="0.35">
      <c r="A199" s="2" t="s">
        <v>86</v>
      </c>
      <c r="B199" s="2">
        <v>2</v>
      </c>
      <c r="C199" s="2">
        <v>2</v>
      </c>
      <c r="D199" s="2">
        <v>2</v>
      </c>
      <c r="E199" s="2">
        <v>2</v>
      </c>
      <c r="F199" s="2">
        <v>2</v>
      </c>
      <c r="G199" s="2" t="s">
        <v>37</v>
      </c>
      <c r="H199" s="2" t="s">
        <v>87</v>
      </c>
      <c r="I199" s="2" t="s">
        <v>93</v>
      </c>
      <c r="J199" s="2">
        <v>710209</v>
      </c>
      <c r="K199" s="2" t="s">
        <v>76</v>
      </c>
      <c r="L199" s="2" t="s">
        <v>77</v>
      </c>
      <c r="M199" s="2" t="s">
        <v>77</v>
      </c>
      <c r="N199" s="2">
        <v>4</v>
      </c>
      <c r="O199" s="2">
        <v>2022</v>
      </c>
      <c r="P199" s="57">
        <v>44652</v>
      </c>
    </row>
    <row r="200" spans="1:16" x14ac:dyDescent="0.35">
      <c r="A200" s="2" t="s">
        <v>86</v>
      </c>
      <c r="B200" s="2">
        <v>3</v>
      </c>
      <c r="C200" s="2">
        <v>3</v>
      </c>
      <c r="D200" s="2">
        <v>3</v>
      </c>
      <c r="E200" s="2">
        <v>3</v>
      </c>
      <c r="F200" s="2">
        <v>1</v>
      </c>
      <c r="G200" s="2" t="s">
        <v>42</v>
      </c>
      <c r="H200" s="2" t="s">
        <v>87</v>
      </c>
      <c r="I200" s="2" t="s">
        <v>93</v>
      </c>
      <c r="J200" s="2">
        <v>710209</v>
      </c>
      <c r="K200" s="2" t="s">
        <v>76</v>
      </c>
      <c r="L200" s="2" t="s">
        <v>77</v>
      </c>
      <c r="M200" s="2" t="s">
        <v>77</v>
      </c>
      <c r="N200" s="2">
        <v>4</v>
      </c>
      <c r="O200" s="2">
        <v>2022</v>
      </c>
      <c r="P200" s="57">
        <v>44652</v>
      </c>
    </row>
    <row r="201" spans="1:16" x14ac:dyDescent="0.35">
      <c r="A201" s="2" t="s">
        <v>99</v>
      </c>
      <c r="B201" s="2">
        <v>1</v>
      </c>
      <c r="C201" s="2">
        <v>1</v>
      </c>
      <c r="D201" s="2">
        <v>1</v>
      </c>
      <c r="E201" s="2">
        <v>1</v>
      </c>
      <c r="F201" s="2">
        <v>1</v>
      </c>
      <c r="G201" s="2" t="s">
        <v>42</v>
      </c>
      <c r="H201" s="2" t="s">
        <v>74</v>
      </c>
      <c r="I201" s="2" t="s">
        <v>100</v>
      </c>
      <c r="J201" s="2">
        <v>758287</v>
      </c>
      <c r="K201" s="2" t="s">
        <v>76</v>
      </c>
      <c r="L201" s="2" t="s">
        <v>77</v>
      </c>
      <c r="M201" s="2" t="s">
        <v>77</v>
      </c>
      <c r="N201" s="2">
        <v>4</v>
      </c>
      <c r="O201" s="2">
        <v>2023</v>
      </c>
      <c r="P201" s="57">
        <v>45017</v>
      </c>
    </row>
    <row r="202" spans="1:16" x14ac:dyDescent="0.35">
      <c r="A202" s="2" t="s">
        <v>102</v>
      </c>
      <c r="B202" s="2">
        <v>2</v>
      </c>
      <c r="C202" s="2">
        <v>2</v>
      </c>
      <c r="D202" s="2">
        <v>2</v>
      </c>
      <c r="E202" s="2">
        <v>2</v>
      </c>
      <c r="F202" s="2">
        <v>1</v>
      </c>
      <c r="G202" s="2" t="s">
        <v>42</v>
      </c>
      <c r="H202" s="2" t="s">
        <v>74</v>
      </c>
      <c r="I202" s="2" t="s">
        <v>98</v>
      </c>
      <c r="J202" s="2">
        <v>710209</v>
      </c>
      <c r="K202" s="2" t="s">
        <v>76</v>
      </c>
      <c r="L202" s="2" t="s">
        <v>77</v>
      </c>
      <c r="M202" s="2" t="s">
        <v>77</v>
      </c>
      <c r="N202" s="2">
        <v>4</v>
      </c>
      <c r="O202" s="2">
        <v>2023</v>
      </c>
      <c r="P202" s="57">
        <v>45017</v>
      </c>
    </row>
    <row r="203" spans="1:16" x14ac:dyDescent="0.35">
      <c r="A203" s="2" t="s">
        <v>78</v>
      </c>
      <c r="B203" s="2">
        <v>1</v>
      </c>
      <c r="C203" s="2">
        <v>2</v>
      </c>
      <c r="D203" s="2">
        <v>2</v>
      </c>
      <c r="E203" s="2">
        <v>1</v>
      </c>
      <c r="F203" s="2">
        <v>1</v>
      </c>
      <c r="G203" s="2" t="s">
        <v>42</v>
      </c>
      <c r="H203" s="2" t="s">
        <v>74</v>
      </c>
      <c r="I203" s="2" t="s">
        <v>98</v>
      </c>
      <c r="J203" s="2">
        <v>710209</v>
      </c>
      <c r="K203" s="2" t="s">
        <v>76</v>
      </c>
      <c r="L203" s="2" t="s">
        <v>77</v>
      </c>
      <c r="M203" s="2" t="s">
        <v>77</v>
      </c>
      <c r="N203" s="2">
        <v>4</v>
      </c>
      <c r="O203" s="2">
        <v>2023</v>
      </c>
      <c r="P203" s="57">
        <v>45017</v>
      </c>
    </row>
    <row r="204" spans="1:16" x14ac:dyDescent="0.35">
      <c r="A204" s="2" t="s">
        <v>80</v>
      </c>
      <c r="B204" s="2">
        <v>1</v>
      </c>
      <c r="C204" s="2">
        <v>1</v>
      </c>
      <c r="D204" s="2">
        <v>1</v>
      </c>
      <c r="E204" s="2">
        <v>1</v>
      </c>
      <c r="F204" s="2">
        <v>1</v>
      </c>
      <c r="G204" s="2" t="s">
        <v>42</v>
      </c>
      <c r="H204" s="2" t="s">
        <v>74</v>
      </c>
      <c r="I204" s="2" t="s">
        <v>98</v>
      </c>
      <c r="J204" s="2">
        <v>710209</v>
      </c>
      <c r="K204" s="2" t="s">
        <v>76</v>
      </c>
      <c r="L204" s="2" t="s">
        <v>77</v>
      </c>
      <c r="M204" s="2" t="s">
        <v>77</v>
      </c>
      <c r="N204" s="2">
        <v>4</v>
      </c>
      <c r="O204" s="2">
        <v>2023</v>
      </c>
      <c r="P204" s="57">
        <v>45017</v>
      </c>
    </row>
    <row r="205" spans="1:16" x14ac:dyDescent="0.35">
      <c r="A205" s="2" t="s">
        <v>80</v>
      </c>
      <c r="B205" s="2">
        <v>2</v>
      </c>
      <c r="C205" s="2">
        <v>2</v>
      </c>
      <c r="D205" s="2">
        <v>2</v>
      </c>
      <c r="E205" s="2">
        <v>2</v>
      </c>
      <c r="F205" s="2">
        <v>2</v>
      </c>
      <c r="G205" s="2" t="s">
        <v>40</v>
      </c>
      <c r="H205" s="2" t="s">
        <v>74</v>
      </c>
      <c r="I205" s="2" t="s">
        <v>98</v>
      </c>
      <c r="J205" s="2">
        <v>710209</v>
      </c>
      <c r="K205" s="2" t="s">
        <v>76</v>
      </c>
      <c r="L205" s="2" t="s">
        <v>77</v>
      </c>
      <c r="M205" s="2" t="s">
        <v>77</v>
      </c>
      <c r="N205" s="2">
        <v>4</v>
      </c>
      <c r="O205" s="2">
        <v>2023</v>
      </c>
      <c r="P205" s="57">
        <v>45017</v>
      </c>
    </row>
    <row r="206" spans="1:16" x14ac:dyDescent="0.35">
      <c r="A206" s="2" t="s">
        <v>81</v>
      </c>
      <c r="B206" s="2">
        <v>1</v>
      </c>
      <c r="C206" s="2">
        <v>4</v>
      </c>
      <c r="D206" s="2">
        <v>7</v>
      </c>
      <c r="E206" s="2">
        <v>4</v>
      </c>
      <c r="F206" s="2">
        <v>1</v>
      </c>
      <c r="G206" s="2" t="s">
        <v>42</v>
      </c>
      <c r="H206" s="2" t="s">
        <v>74</v>
      </c>
      <c r="I206" s="2" t="s">
        <v>98</v>
      </c>
      <c r="J206" s="2">
        <v>710209</v>
      </c>
      <c r="K206" s="2" t="s">
        <v>76</v>
      </c>
      <c r="L206" s="2" t="s">
        <v>77</v>
      </c>
      <c r="M206" s="2" t="s">
        <v>77</v>
      </c>
      <c r="N206" s="2">
        <v>4</v>
      </c>
      <c r="O206" s="2">
        <v>2023</v>
      </c>
      <c r="P206" s="57">
        <v>45017</v>
      </c>
    </row>
    <row r="207" spans="1:16" x14ac:dyDescent="0.35">
      <c r="A207" s="2" t="s">
        <v>81</v>
      </c>
      <c r="B207" s="2">
        <v>2</v>
      </c>
      <c r="C207" s="2">
        <v>2</v>
      </c>
      <c r="D207" s="2">
        <v>2</v>
      </c>
      <c r="E207" s="2">
        <v>2</v>
      </c>
      <c r="F207" s="2">
        <v>2</v>
      </c>
      <c r="G207" s="2" t="s">
        <v>37</v>
      </c>
      <c r="H207" s="2" t="s">
        <v>74</v>
      </c>
      <c r="I207" s="2" t="s">
        <v>98</v>
      </c>
      <c r="J207" s="2">
        <v>710209</v>
      </c>
      <c r="K207" s="2" t="s">
        <v>76</v>
      </c>
      <c r="L207" s="2" t="s">
        <v>77</v>
      </c>
      <c r="M207" s="2" t="s">
        <v>77</v>
      </c>
      <c r="N207" s="2">
        <v>4</v>
      </c>
      <c r="O207" s="2">
        <v>2023</v>
      </c>
      <c r="P207" s="57">
        <v>45017</v>
      </c>
    </row>
    <row r="208" spans="1:16" x14ac:dyDescent="0.35">
      <c r="A208" s="2" t="s">
        <v>82</v>
      </c>
      <c r="B208" s="2">
        <v>1</v>
      </c>
      <c r="C208" s="2">
        <v>1</v>
      </c>
      <c r="D208" s="2">
        <v>1</v>
      </c>
      <c r="E208" s="2">
        <v>1</v>
      </c>
      <c r="F208" s="2">
        <v>1</v>
      </c>
      <c r="G208" s="2" t="s">
        <v>42</v>
      </c>
      <c r="H208" s="2" t="s">
        <v>83</v>
      </c>
      <c r="I208" s="2" t="s">
        <v>98</v>
      </c>
      <c r="J208" s="2">
        <v>710209</v>
      </c>
      <c r="K208" s="2" t="s">
        <v>76</v>
      </c>
      <c r="L208" s="2" t="s">
        <v>77</v>
      </c>
      <c r="M208" s="2" t="s">
        <v>77</v>
      </c>
      <c r="N208" s="2">
        <v>4</v>
      </c>
      <c r="O208" s="2">
        <v>2023</v>
      </c>
      <c r="P208" s="57">
        <v>45017</v>
      </c>
    </row>
    <row r="209" spans="1:16" x14ac:dyDescent="0.35">
      <c r="A209" s="2" t="s">
        <v>94</v>
      </c>
      <c r="B209" s="2">
        <v>1</v>
      </c>
      <c r="C209" s="2">
        <v>1</v>
      </c>
      <c r="D209" s="2">
        <v>1</v>
      </c>
      <c r="E209" s="2">
        <v>1</v>
      </c>
      <c r="F209" s="2">
        <v>1</v>
      </c>
      <c r="G209" s="2" t="s">
        <v>40</v>
      </c>
      <c r="H209" s="2" t="s">
        <v>74</v>
      </c>
      <c r="I209" s="2" t="s">
        <v>95</v>
      </c>
      <c r="J209" s="2">
        <v>750318</v>
      </c>
      <c r="K209" s="2" t="s">
        <v>76</v>
      </c>
      <c r="L209" s="2" t="s">
        <v>77</v>
      </c>
      <c r="M209" s="2" t="s">
        <v>77</v>
      </c>
      <c r="N209" s="2">
        <v>4</v>
      </c>
      <c r="O209" s="2">
        <v>2023</v>
      </c>
      <c r="P209" s="57">
        <v>45017</v>
      </c>
    </row>
    <row r="210" spans="1:16" x14ac:dyDescent="0.35">
      <c r="A210" s="2" t="s">
        <v>94</v>
      </c>
      <c r="B210" s="2">
        <v>3</v>
      </c>
      <c r="C210" s="2">
        <v>6</v>
      </c>
      <c r="D210" s="2">
        <v>6</v>
      </c>
      <c r="E210" s="2">
        <v>3</v>
      </c>
      <c r="F210" s="2">
        <v>2</v>
      </c>
      <c r="G210" s="2" t="s">
        <v>37</v>
      </c>
      <c r="H210" s="2" t="s">
        <v>74</v>
      </c>
      <c r="I210" s="2" t="s">
        <v>95</v>
      </c>
      <c r="J210" s="2">
        <v>750318</v>
      </c>
      <c r="K210" s="2" t="s">
        <v>76</v>
      </c>
      <c r="L210" s="2" t="s">
        <v>77</v>
      </c>
      <c r="M210" s="2" t="s">
        <v>77</v>
      </c>
      <c r="N210" s="2">
        <v>4</v>
      </c>
      <c r="O210" s="2">
        <v>2023</v>
      </c>
      <c r="P210" s="57">
        <v>45017</v>
      </c>
    </row>
    <row r="211" spans="1:16" x14ac:dyDescent="0.35">
      <c r="A211" s="2" t="s">
        <v>94</v>
      </c>
      <c r="B211" s="2">
        <v>3</v>
      </c>
      <c r="C211" s="2">
        <v>3</v>
      </c>
      <c r="D211" s="2">
        <v>3</v>
      </c>
      <c r="E211" s="2">
        <v>3</v>
      </c>
      <c r="F211" s="2">
        <v>3</v>
      </c>
      <c r="G211" s="2" t="s">
        <v>42</v>
      </c>
      <c r="H211" s="2" t="s">
        <v>74</v>
      </c>
      <c r="I211" s="2" t="s">
        <v>95</v>
      </c>
      <c r="J211" s="2">
        <v>750318</v>
      </c>
      <c r="K211" s="2" t="s">
        <v>76</v>
      </c>
      <c r="L211" s="2" t="s">
        <v>77</v>
      </c>
      <c r="M211" s="2" t="s">
        <v>77</v>
      </c>
      <c r="N211" s="2">
        <v>4</v>
      </c>
      <c r="O211" s="2">
        <v>2023</v>
      </c>
      <c r="P211" s="57">
        <v>45017</v>
      </c>
    </row>
    <row r="212" spans="1:16" x14ac:dyDescent="0.35">
      <c r="A212" s="2" t="s">
        <v>86</v>
      </c>
      <c r="B212" s="2">
        <v>3</v>
      </c>
      <c r="C212" s="2">
        <v>3</v>
      </c>
      <c r="D212" s="2">
        <v>3</v>
      </c>
      <c r="E212" s="2">
        <v>3</v>
      </c>
      <c r="F212" s="2">
        <v>3</v>
      </c>
      <c r="G212" s="2" t="s">
        <v>42</v>
      </c>
      <c r="H212" s="2" t="s">
        <v>87</v>
      </c>
      <c r="I212" s="2" t="s">
        <v>98</v>
      </c>
      <c r="J212" s="2">
        <v>710209</v>
      </c>
      <c r="K212" s="2" t="s">
        <v>76</v>
      </c>
      <c r="L212" s="2" t="s">
        <v>77</v>
      </c>
      <c r="M212" s="2" t="s">
        <v>77</v>
      </c>
      <c r="N212" s="2">
        <v>4</v>
      </c>
      <c r="O212" s="2">
        <v>2023</v>
      </c>
      <c r="P212" s="57">
        <v>45017</v>
      </c>
    </row>
    <row r="213" spans="1:16" x14ac:dyDescent="0.35">
      <c r="A213" s="2" t="s">
        <v>89</v>
      </c>
      <c r="B213" s="2">
        <v>1</v>
      </c>
      <c r="C213" s="2">
        <v>1</v>
      </c>
      <c r="D213" s="2">
        <v>1</v>
      </c>
      <c r="E213" s="2">
        <v>1</v>
      </c>
      <c r="F213" s="2">
        <v>1</v>
      </c>
      <c r="G213" s="2" t="s">
        <v>42</v>
      </c>
      <c r="H213" s="2" t="s">
        <v>87</v>
      </c>
      <c r="I213" s="2" t="s">
        <v>79</v>
      </c>
      <c r="J213" s="2">
        <v>710209</v>
      </c>
      <c r="K213" s="2" t="s">
        <v>76</v>
      </c>
      <c r="L213" s="2" t="s">
        <v>77</v>
      </c>
      <c r="M213" s="2" t="s">
        <v>77</v>
      </c>
      <c r="N213" s="2">
        <v>5</v>
      </c>
      <c r="O213" s="2">
        <v>2020</v>
      </c>
      <c r="P213" s="57">
        <v>43952</v>
      </c>
    </row>
    <row r="214" spans="1:16" x14ac:dyDescent="0.35">
      <c r="A214" s="2" t="s">
        <v>102</v>
      </c>
      <c r="B214" s="2">
        <v>1</v>
      </c>
      <c r="C214" s="2">
        <v>1</v>
      </c>
      <c r="D214" s="2">
        <v>1</v>
      </c>
      <c r="E214" s="2">
        <v>1</v>
      </c>
      <c r="F214" s="2">
        <v>1</v>
      </c>
      <c r="G214" s="2" t="s">
        <v>42</v>
      </c>
      <c r="H214" s="2" t="s">
        <v>74</v>
      </c>
      <c r="I214" s="2" t="s">
        <v>79</v>
      </c>
      <c r="J214" s="2">
        <v>710209</v>
      </c>
      <c r="K214" s="2" t="s">
        <v>76</v>
      </c>
      <c r="L214" s="2" t="s">
        <v>77</v>
      </c>
      <c r="M214" s="2" t="s">
        <v>77</v>
      </c>
      <c r="N214" s="2">
        <v>5</v>
      </c>
      <c r="O214" s="2">
        <v>2020</v>
      </c>
      <c r="P214" s="57">
        <v>43952</v>
      </c>
    </row>
    <row r="215" spans="1:16" x14ac:dyDescent="0.35">
      <c r="A215" s="2" t="s">
        <v>78</v>
      </c>
      <c r="B215" s="2">
        <v>1</v>
      </c>
      <c r="C215" s="2">
        <v>1</v>
      </c>
      <c r="D215" s="2">
        <v>1</v>
      </c>
      <c r="E215" s="2">
        <v>1</v>
      </c>
      <c r="F215" s="2">
        <v>1</v>
      </c>
      <c r="G215" s="2" t="s">
        <v>42</v>
      </c>
      <c r="H215" s="2" t="s">
        <v>74</v>
      </c>
      <c r="I215" s="2" t="s">
        <v>79</v>
      </c>
      <c r="J215" s="2">
        <v>710209</v>
      </c>
      <c r="K215" s="2" t="s">
        <v>76</v>
      </c>
      <c r="L215" s="2" t="s">
        <v>77</v>
      </c>
      <c r="M215" s="2" t="s">
        <v>77</v>
      </c>
      <c r="N215" s="2">
        <v>5</v>
      </c>
      <c r="O215" s="2">
        <v>2020</v>
      </c>
      <c r="P215" s="57">
        <v>43952</v>
      </c>
    </row>
    <row r="216" spans="1:16" x14ac:dyDescent="0.35">
      <c r="A216" s="2" t="s">
        <v>81</v>
      </c>
      <c r="B216" s="2">
        <v>1</v>
      </c>
      <c r="C216" s="2">
        <v>1</v>
      </c>
      <c r="D216" s="2">
        <v>1</v>
      </c>
      <c r="E216" s="2">
        <v>1</v>
      </c>
      <c r="F216" s="2">
        <v>1</v>
      </c>
      <c r="G216" s="2" t="s">
        <v>42</v>
      </c>
      <c r="H216" s="2" t="s">
        <v>74</v>
      </c>
      <c r="I216" s="2" t="s">
        <v>79</v>
      </c>
      <c r="J216" s="2">
        <v>710209</v>
      </c>
      <c r="K216" s="2" t="s">
        <v>76</v>
      </c>
      <c r="L216" s="2" t="s">
        <v>77</v>
      </c>
      <c r="M216" s="2" t="s">
        <v>77</v>
      </c>
      <c r="N216" s="2">
        <v>5</v>
      </c>
      <c r="O216" s="2">
        <v>2020</v>
      </c>
      <c r="P216" s="57">
        <v>43952</v>
      </c>
    </row>
    <row r="217" spans="1:16" x14ac:dyDescent="0.35">
      <c r="A217" s="2" t="s">
        <v>81</v>
      </c>
      <c r="B217" s="2">
        <v>3</v>
      </c>
      <c r="C217" s="2">
        <v>3</v>
      </c>
      <c r="D217" s="2">
        <v>3</v>
      </c>
      <c r="E217" s="2">
        <v>3</v>
      </c>
      <c r="F217" s="2">
        <v>3</v>
      </c>
      <c r="G217" s="2" t="s">
        <v>42</v>
      </c>
      <c r="H217" s="2" t="s">
        <v>74</v>
      </c>
      <c r="I217" s="2" t="s">
        <v>79</v>
      </c>
      <c r="J217" s="2">
        <v>710209</v>
      </c>
      <c r="K217" s="2" t="s">
        <v>76</v>
      </c>
      <c r="L217" s="2" t="s">
        <v>77</v>
      </c>
      <c r="M217" s="2" t="s">
        <v>77</v>
      </c>
      <c r="N217" s="2">
        <v>5</v>
      </c>
      <c r="O217" s="2">
        <v>2020</v>
      </c>
      <c r="P217" s="57">
        <v>43952</v>
      </c>
    </row>
    <row r="218" spans="1:16" x14ac:dyDescent="0.35">
      <c r="A218" s="2" t="s">
        <v>110</v>
      </c>
      <c r="B218" s="2">
        <v>1</v>
      </c>
      <c r="C218" s="2">
        <v>2</v>
      </c>
      <c r="D218" s="2">
        <v>2</v>
      </c>
      <c r="E218" s="2">
        <v>1</v>
      </c>
      <c r="F218" s="2">
        <v>1</v>
      </c>
      <c r="G218" s="2" t="s">
        <v>40</v>
      </c>
      <c r="H218" s="2" t="s">
        <v>107</v>
      </c>
      <c r="I218" s="2" t="s">
        <v>111</v>
      </c>
      <c r="J218" s="2">
        <v>1248187</v>
      </c>
      <c r="K218" s="2" t="s">
        <v>76</v>
      </c>
      <c r="L218" s="2" t="s">
        <v>77</v>
      </c>
      <c r="M218" s="2" t="s">
        <v>77</v>
      </c>
      <c r="N218" s="2">
        <v>5</v>
      </c>
      <c r="O218" s="2">
        <v>2020</v>
      </c>
      <c r="P218" s="57">
        <v>43952</v>
      </c>
    </row>
    <row r="219" spans="1:16" x14ac:dyDescent="0.35">
      <c r="A219" s="2" t="s">
        <v>94</v>
      </c>
      <c r="B219" s="2">
        <v>1</v>
      </c>
      <c r="C219" s="2">
        <v>1</v>
      </c>
      <c r="D219" s="2">
        <v>1</v>
      </c>
      <c r="E219" s="2">
        <v>1</v>
      </c>
      <c r="F219" s="2">
        <v>1</v>
      </c>
      <c r="G219" s="2" t="s">
        <v>40</v>
      </c>
      <c r="H219" s="2" t="s">
        <v>74</v>
      </c>
      <c r="I219" s="2" t="s">
        <v>95</v>
      </c>
      <c r="J219" s="2">
        <v>750318</v>
      </c>
      <c r="K219" s="2" t="s">
        <v>76</v>
      </c>
      <c r="L219" s="2" t="s">
        <v>77</v>
      </c>
      <c r="M219" s="2" t="s">
        <v>77</v>
      </c>
      <c r="N219" s="2">
        <v>5</v>
      </c>
      <c r="O219" s="2">
        <v>2020</v>
      </c>
      <c r="P219" s="57">
        <v>43952</v>
      </c>
    </row>
    <row r="220" spans="1:16" x14ac:dyDescent="0.35">
      <c r="A220" s="2" t="s">
        <v>96</v>
      </c>
      <c r="B220" s="2">
        <v>1</v>
      </c>
      <c r="C220" s="2">
        <v>1</v>
      </c>
      <c r="D220" s="2">
        <v>1</v>
      </c>
      <c r="E220" s="2">
        <v>1</v>
      </c>
      <c r="F220" s="2">
        <v>1</v>
      </c>
      <c r="G220" s="2" t="s">
        <v>40</v>
      </c>
      <c r="H220" s="2" t="s">
        <v>74</v>
      </c>
      <c r="I220" s="2" t="s">
        <v>85</v>
      </c>
      <c r="J220" s="2">
        <v>555141</v>
      </c>
      <c r="K220" s="2" t="s">
        <v>76</v>
      </c>
      <c r="L220" s="2" t="s">
        <v>77</v>
      </c>
      <c r="M220" s="2" t="s">
        <v>77</v>
      </c>
      <c r="N220" s="2">
        <v>5</v>
      </c>
      <c r="O220" s="2">
        <v>2020</v>
      </c>
      <c r="P220" s="57">
        <v>43952</v>
      </c>
    </row>
    <row r="221" spans="1:16" x14ac:dyDescent="0.35">
      <c r="A221" s="2" t="s">
        <v>86</v>
      </c>
      <c r="B221" s="2">
        <v>1</v>
      </c>
      <c r="C221" s="2">
        <v>1</v>
      </c>
      <c r="D221" s="2">
        <v>1</v>
      </c>
      <c r="E221" s="2">
        <v>1</v>
      </c>
      <c r="F221" s="2">
        <v>1</v>
      </c>
      <c r="G221" s="2" t="s">
        <v>42</v>
      </c>
      <c r="H221" s="2" t="s">
        <v>87</v>
      </c>
      <c r="I221" s="2" t="s">
        <v>79</v>
      </c>
      <c r="J221" s="2">
        <v>710209</v>
      </c>
      <c r="K221" s="2" t="s">
        <v>76</v>
      </c>
      <c r="L221" s="2" t="s">
        <v>77</v>
      </c>
      <c r="M221" s="2" t="s">
        <v>77</v>
      </c>
      <c r="N221" s="2">
        <v>5</v>
      </c>
      <c r="O221" s="2">
        <v>2020</v>
      </c>
      <c r="P221" s="57">
        <v>43952</v>
      </c>
    </row>
    <row r="222" spans="1:16" x14ac:dyDescent="0.35">
      <c r="A222" s="2" t="s">
        <v>86</v>
      </c>
      <c r="B222" s="2">
        <v>3</v>
      </c>
      <c r="C222" s="2">
        <v>3</v>
      </c>
      <c r="D222" s="2">
        <v>4</v>
      </c>
      <c r="E222" s="2">
        <v>4</v>
      </c>
      <c r="F222" s="2">
        <v>2</v>
      </c>
      <c r="G222" s="2" t="s">
        <v>42</v>
      </c>
      <c r="H222" s="2" t="s">
        <v>87</v>
      </c>
      <c r="I222" s="2" t="s">
        <v>79</v>
      </c>
      <c r="J222" s="2">
        <v>710209</v>
      </c>
      <c r="K222" s="2" t="s">
        <v>76</v>
      </c>
      <c r="L222" s="2" t="s">
        <v>77</v>
      </c>
      <c r="M222" s="2" t="s">
        <v>77</v>
      </c>
      <c r="N222" s="2">
        <v>5</v>
      </c>
      <c r="O222" s="2">
        <v>2020</v>
      </c>
      <c r="P222" s="57">
        <v>43952</v>
      </c>
    </row>
    <row r="223" spans="1:16" x14ac:dyDescent="0.35">
      <c r="A223" s="2" t="s">
        <v>88</v>
      </c>
      <c r="B223" s="2">
        <v>1</v>
      </c>
      <c r="C223" s="2">
        <v>1</v>
      </c>
      <c r="D223" s="2">
        <v>1</v>
      </c>
      <c r="E223" s="2">
        <v>1</v>
      </c>
      <c r="F223" s="2">
        <v>1</v>
      </c>
      <c r="G223" s="2" t="s">
        <v>42</v>
      </c>
      <c r="H223" s="2" t="s">
        <v>74</v>
      </c>
      <c r="I223" s="2" t="s">
        <v>79</v>
      </c>
      <c r="J223" s="2">
        <v>710209</v>
      </c>
      <c r="K223" s="2" t="s">
        <v>76</v>
      </c>
      <c r="L223" s="2" t="s">
        <v>77</v>
      </c>
      <c r="M223" s="2" t="s">
        <v>77</v>
      </c>
      <c r="N223" s="2">
        <v>5</v>
      </c>
      <c r="O223" s="2">
        <v>2020</v>
      </c>
      <c r="P223" s="57">
        <v>43952</v>
      </c>
    </row>
    <row r="224" spans="1:16" x14ac:dyDescent="0.35">
      <c r="A224" s="2" t="s">
        <v>78</v>
      </c>
      <c r="B224" s="2">
        <v>1</v>
      </c>
      <c r="C224" s="2">
        <v>1</v>
      </c>
      <c r="D224" s="2">
        <v>1</v>
      </c>
      <c r="E224" s="2">
        <v>1</v>
      </c>
      <c r="F224" s="2">
        <v>1</v>
      </c>
      <c r="G224" s="2" t="s">
        <v>42</v>
      </c>
      <c r="H224" s="2" t="s">
        <v>74</v>
      </c>
      <c r="I224" s="2" t="s">
        <v>79</v>
      </c>
      <c r="J224" s="2">
        <v>710209</v>
      </c>
      <c r="K224" s="2" t="s">
        <v>76</v>
      </c>
      <c r="L224" s="2" t="s">
        <v>77</v>
      </c>
      <c r="M224" s="2" t="s">
        <v>77</v>
      </c>
      <c r="N224" s="2">
        <v>5</v>
      </c>
      <c r="O224" s="2">
        <v>2021</v>
      </c>
      <c r="P224" s="57">
        <v>44317</v>
      </c>
    </row>
    <row r="225" spans="1:16" x14ac:dyDescent="0.35">
      <c r="A225" s="2" t="s">
        <v>78</v>
      </c>
      <c r="B225" s="2">
        <v>1</v>
      </c>
      <c r="C225" s="2">
        <v>2</v>
      </c>
      <c r="D225" s="2">
        <v>2</v>
      </c>
      <c r="E225" s="2">
        <v>1</v>
      </c>
      <c r="F225" s="2">
        <v>1</v>
      </c>
      <c r="G225" s="2" t="s">
        <v>37</v>
      </c>
      <c r="H225" s="2" t="s">
        <v>74</v>
      </c>
      <c r="I225" s="2" t="s">
        <v>79</v>
      </c>
      <c r="J225" s="2">
        <v>710209</v>
      </c>
      <c r="K225" s="2" t="s">
        <v>76</v>
      </c>
      <c r="L225" s="2" t="s">
        <v>77</v>
      </c>
      <c r="M225" s="2" t="s">
        <v>77</v>
      </c>
      <c r="N225" s="2">
        <v>5</v>
      </c>
      <c r="O225" s="2">
        <v>2021</v>
      </c>
      <c r="P225" s="57">
        <v>44317</v>
      </c>
    </row>
    <row r="226" spans="1:16" x14ac:dyDescent="0.35">
      <c r="A226" s="2" t="s">
        <v>78</v>
      </c>
      <c r="B226" s="2">
        <v>1</v>
      </c>
      <c r="C226" s="2">
        <v>2</v>
      </c>
      <c r="D226" s="2">
        <v>2</v>
      </c>
      <c r="E226" s="2">
        <v>1</v>
      </c>
      <c r="F226" s="2">
        <v>1</v>
      </c>
      <c r="G226" s="2" t="s">
        <v>37</v>
      </c>
      <c r="H226" s="2" t="s">
        <v>74</v>
      </c>
      <c r="I226" s="2" t="s">
        <v>79</v>
      </c>
      <c r="J226" s="2">
        <v>710209</v>
      </c>
      <c r="K226" s="2" t="s">
        <v>76</v>
      </c>
      <c r="L226" s="2" t="s">
        <v>77</v>
      </c>
      <c r="M226" s="2" t="s">
        <v>77</v>
      </c>
      <c r="N226" s="2">
        <v>5</v>
      </c>
      <c r="O226" s="2">
        <v>2021</v>
      </c>
      <c r="P226" s="57">
        <v>44317</v>
      </c>
    </row>
    <row r="227" spans="1:16" x14ac:dyDescent="0.35">
      <c r="A227" s="2" t="s">
        <v>78</v>
      </c>
      <c r="B227" s="2">
        <v>1</v>
      </c>
      <c r="C227" s="2">
        <v>3</v>
      </c>
      <c r="D227" s="2">
        <v>3</v>
      </c>
      <c r="E227" s="2">
        <v>1</v>
      </c>
      <c r="F227" s="2">
        <v>1</v>
      </c>
      <c r="G227" s="2" t="s">
        <v>37</v>
      </c>
      <c r="H227" s="2" t="s">
        <v>74</v>
      </c>
      <c r="I227" s="2" t="s">
        <v>79</v>
      </c>
      <c r="J227" s="2">
        <v>710209</v>
      </c>
      <c r="K227" s="2" t="s">
        <v>76</v>
      </c>
      <c r="L227" s="2" t="s">
        <v>77</v>
      </c>
      <c r="M227" s="2" t="s">
        <v>77</v>
      </c>
      <c r="N227" s="2">
        <v>5</v>
      </c>
      <c r="O227" s="2">
        <v>2021</v>
      </c>
      <c r="P227" s="57">
        <v>44317</v>
      </c>
    </row>
    <row r="228" spans="1:16" x14ac:dyDescent="0.35">
      <c r="A228" s="2" t="s">
        <v>80</v>
      </c>
      <c r="B228" s="2">
        <v>1</v>
      </c>
      <c r="C228" s="2">
        <v>1</v>
      </c>
      <c r="D228" s="2">
        <v>1</v>
      </c>
      <c r="E228" s="2">
        <v>1</v>
      </c>
      <c r="F228" s="2">
        <v>1</v>
      </c>
      <c r="G228" s="2" t="s">
        <v>40</v>
      </c>
      <c r="H228" s="2" t="s">
        <v>74</v>
      </c>
      <c r="I228" s="2" t="s">
        <v>79</v>
      </c>
      <c r="J228" s="2">
        <v>710209</v>
      </c>
      <c r="K228" s="2" t="s">
        <v>76</v>
      </c>
      <c r="L228" s="2" t="s">
        <v>77</v>
      </c>
      <c r="M228" s="2" t="s">
        <v>77</v>
      </c>
      <c r="N228" s="2">
        <v>5</v>
      </c>
      <c r="O228" s="2">
        <v>2021</v>
      </c>
      <c r="P228" s="57">
        <v>44317</v>
      </c>
    </row>
    <row r="229" spans="1:16" x14ac:dyDescent="0.35">
      <c r="A229" s="2" t="s">
        <v>80</v>
      </c>
      <c r="B229" s="2">
        <v>1</v>
      </c>
      <c r="C229" s="2">
        <v>1</v>
      </c>
      <c r="D229" s="2">
        <v>1</v>
      </c>
      <c r="E229" s="2">
        <v>1</v>
      </c>
      <c r="F229" s="2">
        <v>1</v>
      </c>
      <c r="G229" s="2" t="s">
        <v>42</v>
      </c>
      <c r="H229" s="2" t="s">
        <v>74</v>
      </c>
      <c r="I229" s="2" t="s">
        <v>79</v>
      </c>
      <c r="J229" s="2">
        <v>710209</v>
      </c>
      <c r="K229" s="2" t="s">
        <v>76</v>
      </c>
      <c r="L229" s="2" t="s">
        <v>77</v>
      </c>
      <c r="M229" s="2" t="s">
        <v>77</v>
      </c>
      <c r="N229" s="2">
        <v>5</v>
      </c>
      <c r="O229" s="2">
        <v>2021</v>
      </c>
      <c r="P229" s="57">
        <v>44317</v>
      </c>
    </row>
    <row r="230" spans="1:16" x14ac:dyDescent="0.35">
      <c r="A230" s="2" t="s">
        <v>80</v>
      </c>
      <c r="B230" s="2">
        <v>8</v>
      </c>
      <c r="C230" s="2">
        <v>9</v>
      </c>
      <c r="D230" s="2">
        <v>9</v>
      </c>
      <c r="E230" s="2">
        <v>8</v>
      </c>
      <c r="F230" s="2">
        <v>8</v>
      </c>
      <c r="G230" s="2" t="s">
        <v>40</v>
      </c>
      <c r="H230" s="2" t="s">
        <v>74</v>
      </c>
      <c r="I230" s="2" t="s">
        <v>79</v>
      </c>
      <c r="J230" s="2">
        <v>710209</v>
      </c>
      <c r="K230" s="2" t="s">
        <v>76</v>
      </c>
      <c r="L230" s="2" t="s">
        <v>77</v>
      </c>
      <c r="M230" s="2" t="s">
        <v>77</v>
      </c>
      <c r="N230" s="2">
        <v>5</v>
      </c>
      <c r="O230" s="2">
        <v>2021</v>
      </c>
      <c r="P230" s="57">
        <v>44317</v>
      </c>
    </row>
    <row r="231" spans="1:16" x14ac:dyDescent="0.35">
      <c r="A231" s="2" t="s">
        <v>81</v>
      </c>
      <c r="B231" s="2">
        <v>1</v>
      </c>
      <c r="C231" s="2">
        <v>1</v>
      </c>
      <c r="D231" s="2">
        <v>1</v>
      </c>
      <c r="E231" s="2">
        <v>1</v>
      </c>
      <c r="F231" s="2">
        <v>1</v>
      </c>
      <c r="G231" s="2" t="s">
        <v>37</v>
      </c>
      <c r="H231" s="2" t="s">
        <v>74</v>
      </c>
      <c r="I231" s="2" t="s">
        <v>79</v>
      </c>
      <c r="J231" s="2">
        <v>710209</v>
      </c>
      <c r="K231" s="2" t="s">
        <v>76</v>
      </c>
      <c r="L231" s="2" t="s">
        <v>77</v>
      </c>
      <c r="M231" s="2" t="s">
        <v>77</v>
      </c>
      <c r="N231" s="2">
        <v>5</v>
      </c>
      <c r="O231" s="2">
        <v>2021</v>
      </c>
      <c r="P231" s="57">
        <v>44317</v>
      </c>
    </row>
    <row r="232" spans="1:16" x14ac:dyDescent="0.35">
      <c r="A232" s="2" t="s">
        <v>81</v>
      </c>
      <c r="B232" s="2">
        <v>1</v>
      </c>
      <c r="C232" s="2">
        <v>1</v>
      </c>
      <c r="D232" s="2">
        <v>1</v>
      </c>
      <c r="E232" s="2">
        <v>1</v>
      </c>
      <c r="F232" s="2">
        <v>1</v>
      </c>
      <c r="G232" s="2" t="s">
        <v>37</v>
      </c>
      <c r="H232" s="2" t="s">
        <v>74</v>
      </c>
      <c r="I232" s="2" t="s">
        <v>79</v>
      </c>
      <c r="J232" s="2">
        <v>710209</v>
      </c>
      <c r="K232" s="2" t="s">
        <v>76</v>
      </c>
      <c r="L232" s="2" t="s">
        <v>77</v>
      </c>
      <c r="M232" s="2" t="s">
        <v>77</v>
      </c>
      <c r="N232" s="2">
        <v>5</v>
      </c>
      <c r="O232" s="2">
        <v>2021</v>
      </c>
      <c r="P232" s="57">
        <v>44317</v>
      </c>
    </row>
    <row r="233" spans="1:16" x14ac:dyDescent="0.35">
      <c r="A233" s="2" t="s">
        <v>81</v>
      </c>
      <c r="B233" s="2">
        <v>1</v>
      </c>
      <c r="C233" s="2">
        <v>1</v>
      </c>
      <c r="D233" s="2">
        <v>1</v>
      </c>
      <c r="E233" s="2">
        <v>1</v>
      </c>
      <c r="F233" s="2">
        <v>1</v>
      </c>
      <c r="G233" s="2" t="s">
        <v>37</v>
      </c>
      <c r="H233" s="2" t="s">
        <v>74</v>
      </c>
      <c r="I233" s="2" t="s">
        <v>79</v>
      </c>
      <c r="J233" s="2">
        <v>710209</v>
      </c>
      <c r="K233" s="2" t="s">
        <v>76</v>
      </c>
      <c r="L233" s="2" t="s">
        <v>77</v>
      </c>
      <c r="M233" s="2" t="s">
        <v>77</v>
      </c>
      <c r="N233" s="2">
        <v>5</v>
      </c>
      <c r="O233" s="2">
        <v>2021</v>
      </c>
      <c r="P233" s="57">
        <v>44317</v>
      </c>
    </row>
    <row r="234" spans="1:16" x14ac:dyDescent="0.35">
      <c r="A234" s="2" t="s">
        <v>82</v>
      </c>
      <c r="B234" s="2">
        <v>2</v>
      </c>
      <c r="C234" s="2">
        <v>2</v>
      </c>
      <c r="D234" s="2">
        <v>2</v>
      </c>
      <c r="E234" s="2">
        <v>2</v>
      </c>
      <c r="F234" s="2">
        <v>2</v>
      </c>
      <c r="G234" s="2" t="s">
        <v>42</v>
      </c>
      <c r="H234" s="2" t="s">
        <v>83</v>
      </c>
      <c r="I234" s="2" t="s">
        <v>79</v>
      </c>
      <c r="J234" s="2">
        <v>710209</v>
      </c>
      <c r="K234" s="2" t="s">
        <v>76</v>
      </c>
      <c r="L234" s="2" t="s">
        <v>77</v>
      </c>
      <c r="M234" s="2" t="s">
        <v>77</v>
      </c>
      <c r="N234" s="2">
        <v>5</v>
      </c>
      <c r="O234" s="2">
        <v>2021</v>
      </c>
      <c r="P234" s="57">
        <v>44317</v>
      </c>
    </row>
    <row r="235" spans="1:16" x14ac:dyDescent="0.35">
      <c r="A235" s="2" t="s">
        <v>82</v>
      </c>
      <c r="B235" s="2">
        <v>2</v>
      </c>
      <c r="C235" s="2">
        <v>2</v>
      </c>
      <c r="D235" s="2">
        <v>2</v>
      </c>
      <c r="E235" s="2">
        <v>2</v>
      </c>
      <c r="F235" s="2">
        <v>2</v>
      </c>
      <c r="G235" s="2" t="s">
        <v>40</v>
      </c>
      <c r="H235" s="2" t="s">
        <v>83</v>
      </c>
      <c r="I235" s="2" t="s">
        <v>79</v>
      </c>
      <c r="J235" s="2">
        <v>710209</v>
      </c>
      <c r="K235" s="2" t="s">
        <v>76</v>
      </c>
      <c r="L235" s="2" t="s">
        <v>77</v>
      </c>
      <c r="M235" s="2" t="s">
        <v>77</v>
      </c>
      <c r="N235" s="2">
        <v>5</v>
      </c>
      <c r="O235" s="2">
        <v>2021</v>
      </c>
      <c r="P235" s="57">
        <v>44317</v>
      </c>
    </row>
    <row r="236" spans="1:16" x14ac:dyDescent="0.35">
      <c r="A236" s="2" t="s">
        <v>94</v>
      </c>
      <c r="B236" s="2">
        <v>1</v>
      </c>
      <c r="C236" s="2">
        <v>3</v>
      </c>
      <c r="D236" s="2">
        <v>3</v>
      </c>
      <c r="E236" s="2">
        <v>1</v>
      </c>
      <c r="F236" s="2">
        <v>1</v>
      </c>
      <c r="G236" s="2" t="s">
        <v>37</v>
      </c>
      <c r="H236" s="2" t="s">
        <v>74</v>
      </c>
      <c r="I236" s="2" t="s">
        <v>95</v>
      </c>
      <c r="J236" s="2">
        <v>750318</v>
      </c>
      <c r="K236" s="2" t="s">
        <v>76</v>
      </c>
      <c r="L236" s="2" t="s">
        <v>77</v>
      </c>
      <c r="M236" s="2" t="s">
        <v>77</v>
      </c>
      <c r="N236" s="2">
        <v>5</v>
      </c>
      <c r="O236" s="2">
        <v>2021</v>
      </c>
      <c r="P236" s="57">
        <v>44317</v>
      </c>
    </row>
    <row r="237" spans="1:16" x14ac:dyDescent="0.35">
      <c r="A237" s="2" t="s">
        <v>94</v>
      </c>
      <c r="B237" s="2">
        <v>1</v>
      </c>
      <c r="C237" s="2">
        <v>1</v>
      </c>
      <c r="D237" s="2">
        <v>1</v>
      </c>
      <c r="E237" s="2">
        <v>1</v>
      </c>
      <c r="F237" s="2">
        <v>1</v>
      </c>
      <c r="G237" s="2" t="s">
        <v>40</v>
      </c>
      <c r="H237" s="2" t="s">
        <v>74</v>
      </c>
      <c r="I237" s="2" t="s">
        <v>95</v>
      </c>
      <c r="J237" s="2">
        <v>750318</v>
      </c>
      <c r="K237" s="2" t="s">
        <v>76</v>
      </c>
      <c r="L237" s="2" t="s">
        <v>77</v>
      </c>
      <c r="M237" s="2" t="s">
        <v>77</v>
      </c>
      <c r="N237" s="2">
        <v>5</v>
      </c>
      <c r="O237" s="2">
        <v>2021</v>
      </c>
      <c r="P237" s="57">
        <v>44317</v>
      </c>
    </row>
    <row r="238" spans="1:16" x14ac:dyDescent="0.35">
      <c r="A238" s="2" t="s">
        <v>94</v>
      </c>
      <c r="B238" s="2">
        <v>2</v>
      </c>
      <c r="C238" s="2">
        <v>4</v>
      </c>
      <c r="D238" s="2">
        <v>4</v>
      </c>
      <c r="E238" s="2">
        <v>2</v>
      </c>
      <c r="F238" s="2">
        <v>2</v>
      </c>
      <c r="G238" s="2" t="s">
        <v>42</v>
      </c>
      <c r="H238" s="2" t="s">
        <v>74</v>
      </c>
      <c r="I238" s="2" t="s">
        <v>95</v>
      </c>
      <c r="J238" s="2">
        <v>750318</v>
      </c>
      <c r="K238" s="2" t="s">
        <v>76</v>
      </c>
      <c r="L238" s="2" t="s">
        <v>77</v>
      </c>
      <c r="M238" s="2" t="s">
        <v>77</v>
      </c>
      <c r="N238" s="2">
        <v>5</v>
      </c>
      <c r="O238" s="2">
        <v>2021</v>
      </c>
      <c r="P238" s="57">
        <v>44317</v>
      </c>
    </row>
    <row r="239" spans="1:16" x14ac:dyDescent="0.35">
      <c r="A239" s="2" t="s">
        <v>86</v>
      </c>
      <c r="B239" s="2">
        <v>1</v>
      </c>
      <c r="C239" s="2">
        <v>2</v>
      </c>
      <c r="D239" s="2">
        <v>2</v>
      </c>
      <c r="E239" s="2">
        <v>1</v>
      </c>
      <c r="F239" s="2">
        <v>1</v>
      </c>
      <c r="G239" s="2" t="s">
        <v>37</v>
      </c>
      <c r="H239" s="2" t="s">
        <v>87</v>
      </c>
      <c r="I239" s="2" t="s">
        <v>79</v>
      </c>
      <c r="J239" s="2">
        <v>710209</v>
      </c>
      <c r="K239" s="2" t="s">
        <v>76</v>
      </c>
      <c r="L239" s="2" t="s">
        <v>77</v>
      </c>
      <c r="M239" s="2" t="s">
        <v>77</v>
      </c>
      <c r="N239" s="2">
        <v>5</v>
      </c>
      <c r="O239" s="2">
        <v>2021</v>
      </c>
      <c r="P239" s="57">
        <v>44317</v>
      </c>
    </row>
    <row r="240" spans="1:16" x14ac:dyDescent="0.35">
      <c r="A240" s="2" t="s">
        <v>86</v>
      </c>
      <c r="B240" s="2">
        <v>3</v>
      </c>
      <c r="C240" s="2">
        <v>3</v>
      </c>
      <c r="D240" s="2">
        <v>3</v>
      </c>
      <c r="E240" s="2">
        <v>3</v>
      </c>
      <c r="F240" s="2">
        <v>1</v>
      </c>
      <c r="G240" s="2" t="s">
        <v>42</v>
      </c>
      <c r="H240" s="2" t="s">
        <v>87</v>
      </c>
      <c r="I240" s="2" t="s">
        <v>79</v>
      </c>
      <c r="J240" s="2">
        <v>710209</v>
      </c>
      <c r="K240" s="2" t="s">
        <v>76</v>
      </c>
      <c r="L240" s="2" t="s">
        <v>77</v>
      </c>
      <c r="M240" s="2" t="s">
        <v>77</v>
      </c>
      <c r="N240" s="2">
        <v>5</v>
      </c>
      <c r="O240" s="2">
        <v>2021</v>
      </c>
      <c r="P240" s="57">
        <v>44317</v>
      </c>
    </row>
    <row r="241" spans="1:16" x14ac:dyDescent="0.35">
      <c r="A241" s="2" t="s">
        <v>88</v>
      </c>
      <c r="B241" s="2">
        <v>1</v>
      </c>
      <c r="C241" s="2">
        <v>2</v>
      </c>
      <c r="D241" s="2">
        <v>2</v>
      </c>
      <c r="E241" s="2">
        <v>1</v>
      </c>
      <c r="F241" s="2">
        <v>1</v>
      </c>
      <c r="G241" s="2" t="s">
        <v>40</v>
      </c>
      <c r="H241" s="2" t="s">
        <v>74</v>
      </c>
      <c r="I241" s="2" t="s">
        <v>79</v>
      </c>
      <c r="J241" s="2">
        <v>710209</v>
      </c>
      <c r="K241" s="2" t="s">
        <v>76</v>
      </c>
      <c r="L241" s="2" t="s">
        <v>77</v>
      </c>
      <c r="M241" s="2" t="s">
        <v>77</v>
      </c>
      <c r="N241" s="2">
        <v>5</v>
      </c>
      <c r="O241" s="2">
        <v>2021</v>
      </c>
      <c r="P241" s="57">
        <v>44317</v>
      </c>
    </row>
    <row r="242" spans="1:16" x14ac:dyDescent="0.35">
      <c r="A242" s="2" t="s">
        <v>88</v>
      </c>
      <c r="B242" s="2">
        <v>1</v>
      </c>
      <c r="C242" s="2">
        <v>1</v>
      </c>
      <c r="D242" s="2">
        <v>1</v>
      </c>
      <c r="E242" s="2">
        <v>1</v>
      </c>
      <c r="F242" s="2">
        <v>1</v>
      </c>
      <c r="G242" s="2" t="s">
        <v>37</v>
      </c>
      <c r="H242" s="2" t="s">
        <v>74</v>
      </c>
      <c r="I242" s="2" t="s">
        <v>79</v>
      </c>
      <c r="J242" s="2">
        <v>710209</v>
      </c>
      <c r="K242" s="2" t="s">
        <v>76</v>
      </c>
      <c r="L242" s="2" t="s">
        <v>77</v>
      </c>
      <c r="M242" s="2" t="s">
        <v>77</v>
      </c>
      <c r="N242" s="2">
        <v>5</v>
      </c>
      <c r="O242" s="2">
        <v>2021</v>
      </c>
      <c r="P242" s="57">
        <v>44317</v>
      </c>
    </row>
    <row r="243" spans="1:16" x14ac:dyDescent="0.35">
      <c r="A243" s="2" t="s">
        <v>73</v>
      </c>
      <c r="B243" s="2">
        <v>2</v>
      </c>
      <c r="C243" s="2">
        <v>2</v>
      </c>
      <c r="D243" s="2">
        <v>2</v>
      </c>
      <c r="E243" s="2">
        <v>2</v>
      </c>
      <c r="F243" s="2">
        <v>2</v>
      </c>
      <c r="G243" s="2" t="s">
        <v>42</v>
      </c>
      <c r="H243" s="2" t="s">
        <v>74</v>
      </c>
      <c r="I243" s="2" t="s">
        <v>75</v>
      </c>
      <c r="J243" s="2">
        <v>498090</v>
      </c>
      <c r="K243" s="2" t="s">
        <v>76</v>
      </c>
      <c r="L243" s="2" t="s">
        <v>77</v>
      </c>
      <c r="M243" s="2" t="s">
        <v>77</v>
      </c>
      <c r="N243" s="2">
        <v>5</v>
      </c>
      <c r="O243" s="2">
        <v>2022</v>
      </c>
      <c r="P243" s="57">
        <v>44682</v>
      </c>
    </row>
    <row r="244" spans="1:16" x14ac:dyDescent="0.35">
      <c r="A244" s="2" t="s">
        <v>81</v>
      </c>
      <c r="B244" s="2">
        <v>1</v>
      </c>
      <c r="C244" s="2">
        <v>1</v>
      </c>
      <c r="D244" s="2">
        <v>1</v>
      </c>
      <c r="E244" s="2">
        <v>1</v>
      </c>
      <c r="F244" s="2">
        <v>1</v>
      </c>
      <c r="G244" s="2" t="s">
        <v>37</v>
      </c>
      <c r="H244" s="2" t="s">
        <v>74</v>
      </c>
      <c r="I244" s="2" t="s">
        <v>93</v>
      </c>
      <c r="J244" s="2">
        <v>710209</v>
      </c>
      <c r="K244" s="2" t="s">
        <v>76</v>
      </c>
      <c r="L244" s="2" t="s">
        <v>77</v>
      </c>
      <c r="M244" s="2" t="s">
        <v>77</v>
      </c>
      <c r="N244" s="2">
        <v>5</v>
      </c>
      <c r="O244" s="2">
        <v>2022</v>
      </c>
      <c r="P244" s="57">
        <v>44682</v>
      </c>
    </row>
    <row r="245" spans="1:16" x14ac:dyDescent="0.35">
      <c r="A245" s="2" t="s">
        <v>82</v>
      </c>
      <c r="B245" s="2">
        <v>1</v>
      </c>
      <c r="C245" s="2">
        <v>2</v>
      </c>
      <c r="D245" s="2">
        <v>2</v>
      </c>
      <c r="E245" s="2">
        <v>1</v>
      </c>
      <c r="F245" s="2">
        <v>1</v>
      </c>
      <c r="G245" s="2" t="s">
        <v>40</v>
      </c>
      <c r="H245" s="2" t="s">
        <v>83</v>
      </c>
      <c r="I245" s="2" t="s">
        <v>93</v>
      </c>
      <c r="J245" s="2">
        <v>710209</v>
      </c>
      <c r="K245" s="2" t="s">
        <v>76</v>
      </c>
      <c r="L245" s="2" t="s">
        <v>77</v>
      </c>
      <c r="M245" s="2" t="s">
        <v>77</v>
      </c>
      <c r="N245" s="2">
        <v>5</v>
      </c>
      <c r="O245" s="2">
        <v>2022</v>
      </c>
      <c r="P245" s="57">
        <v>44682</v>
      </c>
    </row>
    <row r="246" spans="1:16" x14ac:dyDescent="0.35">
      <c r="A246" s="2" t="s">
        <v>82</v>
      </c>
      <c r="B246" s="2">
        <v>1</v>
      </c>
      <c r="C246" s="2">
        <v>1</v>
      </c>
      <c r="D246" s="2">
        <v>1</v>
      </c>
      <c r="E246" s="2">
        <v>1</v>
      </c>
      <c r="F246" s="2">
        <v>1</v>
      </c>
      <c r="G246" s="2" t="s">
        <v>42</v>
      </c>
      <c r="H246" s="2" t="s">
        <v>83</v>
      </c>
      <c r="I246" s="2" t="s">
        <v>93</v>
      </c>
      <c r="J246" s="2">
        <v>710209</v>
      </c>
      <c r="K246" s="2" t="s">
        <v>76</v>
      </c>
      <c r="L246" s="2" t="s">
        <v>77</v>
      </c>
      <c r="M246" s="2" t="s">
        <v>77</v>
      </c>
      <c r="N246" s="2">
        <v>5</v>
      </c>
      <c r="O246" s="2">
        <v>2022</v>
      </c>
      <c r="P246" s="57">
        <v>44682</v>
      </c>
    </row>
    <row r="247" spans="1:16" x14ac:dyDescent="0.35">
      <c r="A247" s="2" t="s">
        <v>82</v>
      </c>
      <c r="B247" s="2">
        <v>1</v>
      </c>
      <c r="C247" s="2">
        <v>2</v>
      </c>
      <c r="D247" s="2">
        <v>2</v>
      </c>
      <c r="E247" s="2">
        <v>1</v>
      </c>
      <c r="F247" s="2">
        <v>1</v>
      </c>
      <c r="G247" s="2" t="s">
        <v>40</v>
      </c>
      <c r="H247" s="2" t="s">
        <v>83</v>
      </c>
      <c r="I247" s="2" t="s">
        <v>93</v>
      </c>
      <c r="J247" s="2">
        <v>710209</v>
      </c>
      <c r="K247" s="2" t="s">
        <v>76</v>
      </c>
      <c r="L247" s="2" t="s">
        <v>77</v>
      </c>
      <c r="M247" s="2" t="s">
        <v>77</v>
      </c>
      <c r="N247" s="2">
        <v>5</v>
      </c>
      <c r="O247" s="2">
        <v>2022</v>
      </c>
      <c r="P247" s="57">
        <v>44682</v>
      </c>
    </row>
    <row r="248" spans="1:16" x14ac:dyDescent="0.35">
      <c r="A248" s="2" t="s">
        <v>82</v>
      </c>
      <c r="B248" s="2">
        <v>2</v>
      </c>
      <c r="C248" s="2">
        <v>3</v>
      </c>
      <c r="D248" s="2">
        <v>3</v>
      </c>
      <c r="E248" s="2">
        <v>2</v>
      </c>
      <c r="F248" s="2">
        <v>1</v>
      </c>
      <c r="G248" s="2" t="s">
        <v>37</v>
      </c>
      <c r="H248" s="2" t="s">
        <v>83</v>
      </c>
      <c r="I248" s="2" t="s">
        <v>93</v>
      </c>
      <c r="J248" s="2">
        <v>710209</v>
      </c>
      <c r="K248" s="2" t="s">
        <v>76</v>
      </c>
      <c r="L248" s="2" t="s">
        <v>77</v>
      </c>
      <c r="M248" s="2" t="s">
        <v>77</v>
      </c>
      <c r="N248" s="2">
        <v>5</v>
      </c>
      <c r="O248" s="2">
        <v>2022</v>
      </c>
      <c r="P248" s="57">
        <v>44682</v>
      </c>
    </row>
    <row r="249" spans="1:16" x14ac:dyDescent="0.35">
      <c r="A249" s="2" t="s">
        <v>94</v>
      </c>
      <c r="B249" s="2">
        <v>1</v>
      </c>
      <c r="C249" s="2">
        <v>1</v>
      </c>
      <c r="D249" s="2">
        <v>1</v>
      </c>
      <c r="E249" s="2">
        <v>1</v>
      </c>
      <c r="F249" s="2">
        <v>1</v>
      </c>
      <c r="G249" s="2" t="s">
        <v>40</v>
      </c>
      <c r="H249" s="2" t="s">
        <v>74</v>
      </c>
      <c r="I249" s="2" t="s">
        <v>95</v>
      </c>
      <c r="J249" s="2">
        <v>750318</v>
      </c>
      <c r="K249" s="2" t="s">
        <v>76</v>
      </c>
      <c r="L249" s="2" t="s">
        <v>77</v>
      </c>
      <c r="M249" s="2" t="s">
        <v>77</v>
      </c>
      <c r="N249" s="2">
        <v>5</v>
      </c>
      <c r="O249" s="2">
        <v>2022</v>
      </c>
      <c r="P249" s="57">
        <v>44682</v>
      </c>
    </row>
    <row r="250" spans="1:16" x14ac:dyDescent="0.35">
      <c r="A250" s="2" t="s">
        <v>94</v>
      </c>
      <c r="B250" s="2">
        <v>1</v>
      </c>
      <c r="C250" s="2">
        <v>1</v>
      </c>
      <c r="D250" s="2">
        <v>1</v>
      </c>
      <c r="E250" s="2">
        <v>1</v>
      </c>
      <c r="F250" s="2">
        <v>1</v>
      </c>
      <c r="G250" s="2" t="s">
        <v>40</v>
      </c>
      <c r="H250" s="2" t="s">
        <v>74</v>
      </c>
      <c r="I250" s="2" t="s">
        <v>95</v>
      </c>
      <c r="J250" s="2">
        <v>750318</v>
      </c>
      <c r="K250" s="2" t="s">
        <v>76</v>
      </c>
      <c r="L250" s="2" t="s">
        <v>77</v>
      </c>
      <c r="M250" s="2" t="s">
        <v>77</v>
      </c>
      <c r="N250" s="2">
        <v>5</v>
      </c>
      <c r="O250" s="2">
        <v>2022</v>
      </c>
      <c r="P250" s="57">
        <v>44682</v>
      </c>
    </row>
    <row r="251" spans="1:16" x14ac:dyDescent="0.35">
      <c r="A251" s="2" t="s">
        <v>94</v>
      </c>
      <c r="B251" s="2">
        <v>1</v>
      </c>
      <c r="C251" s="2">
        <v>1</v>
      </c>
      <c r="D251" s="2">
        <v>1</v>
      </c>
      <c r="E251" s="2">
        <v>1</v>
      </c>
      <c r="F251" s="2">
        <v>1</v>
      </c>
      <c r="G251" s="2" t="s">
        <v>42</v>
      </c>
      <c r="H251" s="2" t="s">
        <v>74</v>
      </c>
      <c r="I251" s="2" t="s">
        <v>95</v>
      </c>
      <c r="J251" s="2">
        <v>750318</v>
      </c>
      <c r="K251" s="2" t="s">
        <v>76</v>
      </c>
      <c r="L251" s="2" t="s">
        <v>77</v>
      </c>
      <c r="M251" s="2" t="s">
        <v>77</v>
      </c>
      <c r="N251" s="2">
        <v>5</v>
      </c>
      <c r="O251" s="2">
        <v>2022</v>
      </c>
      <c r="P251" s="57">
        <v>44682</v>
      </c>
    </row>
    <row r="252" spans="1:16" x14ac:dyDescent="0.35">
      <c r="A252" s="2" t="s">
        <v>94</v>
      </c>
      <c r="B252" s="2">
        <v>3</v>
      </c>
      <c r="C252" s="2">
        <v>4</v>
      </c>
      <c r="D252" s="2">
        <v>4</v>
      </c>
      <c r="E252" s="2">
        <v>3</v>
      </c>
      <c r="F252" s="2">
        <v>3</v>
      </c>
      <c r="G252" s="2" t="s">
        <v>40</v>
      </c>
      <c r="H252" s="2" t="s">
        <v>74</v>
      </c>
      <c r="I252" s="2" t="s">
        <v>95</v>
      </c>
      <c r="J252" s="2">
        <v>750318</v>
      </c>
      <c r="K252" s="2" t="s">
        <v>76</v>
      </c>
      <c r="L252" s="2" t="s">
        <v>77</v>
      </c>
      <c r="M252" s="2" t="s">
        <v>77</v>
      </c>
      <c r="N252" s="2">
        <v>5</v>
      </c>
      <c r="O252" s="2">
        <v>2022</v>
      </c>
      <c r="P252" s="57">
        <v>44682</v>
      </c>
    </row>
    <row r="253" spans="1:16" x14ac:dyDescent="0.35">
      <c r="A253" s="2" t="s">
        <v>86</v>
      </c>
      <c r="B253" s="2">
        <v>1</v>
      </c>
      <c r="C253" s="2">
        <v>2</v>
      </c>
      <c r="D253" s="2">
        <v>3</v>
      </c>
      <c r="E253" s="2">
        <v>2</v>
      </c>
      <c r="F253" s="2">
        <v>1</v>
      </c>
      <c r="G253" s="2" t="s">
        <v>37</v>
      </c>
      <c r="H253" s="2" t="s">
        <v>87</v>
      </c>
      <c r="I253" s="2" t="s">
        <v>93</v>
      </c>
      <c r="J253" s="2">
        <v>710209</v>
      </c>
      <c r="K253" s="2" t="s">
        <v>76</v>
      </c>
      <c r="L253" s="2" t="s">
        <v>77</v>
      </c>
      <c r="M253" s="2" t="s">
        <v>77</v>
      </c>
      <c r="N253" s="2">
        <v>5</v>
      </c>
      <c r="O253" s="2">
        <v>2022</v>
      </c>
      <c r="P253" s="57">
        <v>44682</v>
      </c>
    </row>
    <row r="254" spans="1:16" x14ac:dyDescent="0.35">
      <c r="A254" s="2" t="s">
        <v>86</v>
      </c>
      <c r="B254" s="2">
        <v>1</v>
      </c>
      <c r="C254" s="2">
        <v>1</v>
      </c>
      <c r="D254" s="2">
        <v>1</v>
      </c>
      <c r="E254" s="2">
        <v>1</v>
      </c>
      <c r="F254" s="2">
        <v>1</v>
      </c>
      <c r="G254" s="2" t="s">
        <v>42</v>
      </c>
      <c r="H254" s="2" t="s">
        <v>87</v>
      </c>
      <c r="I254" s="2" t="s">
        <v>93</v>
      </c>
      <c r="J254" s="2">
        <v>710209</v>
      </c>
      <c r="K254" s="2" t="s">
        <v>76</v>
      </c>
      <c r="L254" s="2" t="s">
        <v>77</v>
      </c>
      <c r="M254" s="2" t="s">
        <v>77</v>
      </c>
      <c r="N254" s="2">
        <v>5</v>
      </c>
      <c r="O254" s="2">
        <v>2022</v>
      </c>
      <c r="P254" s="57">
        <v>44682</v>
      </c>
    </row>
    <row r="255" spans="1:16" x14ac:dyDescent="0.35">
      <c r="A255" s="2" t="s">
        <v>88</v>
      </c>
      <c r="B255" s="2">
        <v>2</v>
      </c>
      <c r="C255" s="2">
        <v>5</v>
      </c>
      <c r="D255" s="2">
        <v>5</v>
      </c>
      <c r="E255" s="2">
        <v>2</v>
      </c>
      <c r="F255" s="2">
        <v>1</v>
      </c>
      <c r="G255" s="2" t="s">
        <v>37</v>
      </c>
      <c r="H255" s="2" t="s">
        <v>74</v>
      </c>
      <c r="I255" s="2" t="s">
        <v>93</v>
      </c>
      <c r="J255" s="2">
        <v>710209</v>
      </c>
      <c r="K255" s="2" t="s">
        <v>76</v>
      </c>
      <c r="L255" s="2" t="s">
        <v>77</v>
      </c>
      <c r="M255" s="2" t="s">
        <v>77</v>
      </c>
      <c r="N255" s="2">
        <v>5</v>
      </c>
      <c r="O255" s="2">
        <v>2022</v>
      </c>
      <c r="P255" s="57">
        <v>44682</v>
      </c>
    </row>
    <row r="256" spans="1:16" x14ac:dyDescent="0.35">
      <c r="A256" s="2" t="s">
        <v>80</v>
      </c>
      <c r="B256" s="2">
        <v>4</v>
      </c>
      <c r="C256" s="2">
        <v>6</v>
      </c>
      <c r="D256" s="2">
        <v>6</v>
      </c>
      <c r="E256" s="2">
        <v>4</v>
      </c>
      <c r="F256" s="2">
        <v>4</v>
      </c>
      <c r="G256" s="2" t="s">
        <v>40</v>
      </c>
      <c r="H256" s="2" t="s">
        <v>74</v>
      </c>
      <c r="I256" s="2" t="s">
        <v>98</v>
      </c>
      <c r="J256" s="2">
        <v>710209</v>
      </c>
      <c r="K256" s="2" t="s">
        <v>76</v>
      </c>
      <c r="L256" s="2" t="s">
        <v>77</v>
      </c>
      <c r="M256" s="2" t="s">
        <v>77</v>
      </c>
      <c r="N256" s="2">
        <v>5</v>
      </c>
      <c r="O256" s="2">
        <v>2023</v>
      </c>
      <c r="P256" s="57">
        <v>45047</v>
      </c>
    </row>
    <row r="257" spans="1:16" x14ac:dyDescent="0.35">
      <c r="A257" s="2" t="s">
        <v>81</v>
      </c>
      <c r="B257" s="2">
        <v>3</v>
      </c>
      <c r="C257" s="2">
        <v>3</v>
      </c>
      <c r="D257" s="2">
        <v>3</v>
      </c>
      <c r="E257" s="2">
        <v>3</v>
      </c>
      <c r="F257" s="2">
        <v>2</v>
      </c>
      <c r="G257" s="2" t="s">
        <v>42</v>
      </c>
      <c r="H257" s="2" t="s">
        <v>74</v>
      </c>
      <c r="I257" s="2" t="s">
        <v>98</v>
      </c>
      <c r="J257" s="2">
        <v>710209</v>
      </c>
      <c r="K257" s="2" t="s">
        <v>76</v>
      </c>
      <c r="L257" s="2" t="s">
        <v>77</v>
      </c>
      <c r="M257" s="2" t="s">
        <v>77</v>
      </c>
      <c r="N257" s="2">
        <v>5</v>
      </c>
      <c r="O257" s="2">
        <v>2023</v>
      </c>
      <c r="P257" s="57">
        <v>45047</v>
      </c>
    </row>
    <row r="258" spans="1:16" x14ac:dyDescent="0.35">
      <c r="A258" s="2" t="s">
        <v>94</v>
      </c>
      <c r="B258" s="2">
        <v>3</v>
      </c>
      <c r="C258" s="2">
        <v>4</v>
      </c>
      <c r="D258" s="2">
        <v>4</v>
      </c>
      <c r="E258" s="2">
        <v>3</v>
      </c>
      <c r="F258" s="2">
        <v>2</v>
      </c>
      <c r="G258" s="2" t="s">
        <v>40</v>
      </c>
      <c r="H258" s="2" t="s">
        <v>74</v>
      </c>
      <c r="I258" s="2" t="s">
        <v>95</v>
      </c>
      <c r="J258" s="2">
        <v>750318</v>
      </c>
      <c r="K258" s="2" t="s">
        <v>76</v>
      </c>
      <c r="L258" s="2" t="s">
        <v>77</v>
      </c>
      <c r="M258" s="2" t="s">
        <v>77</v>
      </c>
      <c r="N258" s="2">
        <v>5</v>
      </c>
      <c r="O258" s="2">
        <v>2023</v>
      </c>
      <c r="P258" s="57">
        <v>45047</v>
      </c>
    </row>
    <row r="259" spans="1:16" x14ac:dyDescent="0.35">
      <c r="A259" s="2" t="s">
        <v>94</v>
      </c>
      <c r="B259" s="2">
        <v>2</v>
      </c>
      <c r="C259" s="2">
        <v>2</v>
      </c>
      <c r="D259" s="2">
        <v>2</v>
      </c>
      <c r="E259" s="2">
        <v>2</v>
      </c>
      <c r="F259" s="2">
        <v>2</v>
      </c>
      <c r="G259" s="2" t="s">
        <v>40</v>
      </c>
      <c r="H259" s="2" t="s">
        <v>74</v>
      </c>
      <c r="I259" s="2" t="s">
        <v>95</v>
      </c>
      <c r="J259" s="2">
        <v>750318</v>
      </c>
      <c r="K259" s="2" t="s">
        <v>76</v>
      </c>
      <c r="L259" s="2" t="s">
        <v>77</v>
      </c>
      <c r="M259" s="2" t="s">
        <v>77</v>
      </c>
      <c r="N259" s="2">
        <v>5</v>
      </c>
      <c r="O259" s="2">
        <v>2023</v>
      </c>
      <c r="P259" s="57">
        <v>45047</v>
      </c>
    </row>
    <row r="260" spans="1:16" x14ac:dyDescent="0.35">
      <c r="A260" s="2" t="s">
        <v>86</v>
      </c>
      <c r="B260" s="2">
        <v>1</v>
      </c>
      <c r="C260" s="2">
        <v>1</v>
      </c>
      <c r="D260" s="2">
        <v>1</v>
      </c>
      <c r="E260" s="2">
        <v>1</v>
      </c>
      <c r="F260" s="2">
        <v>1</v>
      </c>
      <c r="G260" s="2" t="s">
        <v>42</v>
      </c>
      <c r="H260" s="2" t="s">
        <v>87</v>
      </c>
      <c r="I260" s="2" t="s">
        <v>98</v>
      </c>
      <c r="J260" s="2">
        <v>710209</v>
      </c>
      <c r="K260" s="2" t="s">
        <v>76</v>
      </c>
      <c r="L260" s="2" t="s">
        <v>77</v>
      </c>
      <c r="M260" s="2" t="s">
        <v>77</v>
      </c>
      <c r="N260" s="2">
        <v>5</v>
      </c>
      <c r="O260" s="2">
        <v>2023</v>
      </c>
      <c r="P260" s="57">
        <v>45047</v>
      </c>
    </row>
    <row r="261" spans="1:16" x14ac:dyDescent="0.35">
      <c r="A261" s="2" t="s">
        <v>88</v>
      </c>
      <c r="B261" s="2">
        <v>1</v>
      </c>
      <c r="C261" s="2">
        <v>1</v>
      </c>
      <c r="D261" s="2">
        <v>1</v>
      </c>
      <c r="E261" s="2">
        <v>1</v>
      </c>
      <c r="F261" s="2">
        <v>1</v>
      </c>
      <c r="G261" s="2" t="s">
        <v>40</v>
      </c>
      <c r="H261" s="2" t="s">
        <v>74</v>
      </c>
      <c r="I261" s="2" t="s">
        <v>98</v>
      </c>
      <c r="J261" s="2">
        <v>710209</v>
      </c>
      <c r="K261" s="2" t="s">
        <v>76</v>
      </c>
      <c r="L261" s="2" t="s">
        <v>77</v>
      </c>
      <c r="M261" s="2" t="s">
        <v>77</v>
      </c>
      <c r="N261" s="2">
        <v>5</v>
      </c>
      <c r="O261" s="2">
        <v>2023</v>
      </c>
      <c r="P261" s="57">
        <v>45047</v>
      </c>
    </row>
    <row r="262" spans="1:16" x14ac:dyDescent="0.35">
      <c r="A262" s="2" t="s">
        <v>73</v>
      </c>
      <c r="B262" s="2">
        <v>1</v>
      </c>
      <c r="C262" s="2">
        <v>2</v>
      </c>
      <c r="D262" s="2">
        <v>2</v>
      </c>
      <c r="E262" s="2">
        <v>1</v>
      </c>
      <c r="F262" s="2">
        <v>1</v>
      </c>
      <c r="G262" s="2" t="s">
        <v>42</v>
      </c>
      <c r="H262" s="2" t="s">
        <v>74</v>
      </c>
      <c r="I262" s="2" t="s">
        <v>75</v>
      </c>
      <c r="J262" s="2">
        <v>498090</v>
      </c>
      <c r="K262" s="2" t="s">
        <v>76</v>
      </c>
      <c r="L262" s="2" t="s">
        <v>77</v>
      </c>
      <c r="M262" s="2" t="s">
        <v>77</v>
      </c>
      <c r="N262" s="2">
        <v>6</v>
      </c>
      <c r="O262" s="2">
        <v>2020</v>
      </c>
      <c r="P262" s="57">
        <v>43983</v>
      </c>
    </row>
    <row r="263" spans="1:16" x14ac:dyDescent="0.35">
      <c r="A263" s="2" t="s">
        <v>78</v>
      </c>
      <c r="B263" s="2">
        <v>6</v>
      </c>
      <c r="C263" s="2">
        <v>8</v>
      </c>
      <c r="D263" s="2">
        <v>8</v>
      </c>
      <c r="E263" s="2">
        <v>6</v>
      </c>
      <c r="F263" s="2">
        <v>1</v>
      </c>
      <c r="G263" s="2" t="s">
        <v>42</v>
      </c>
      <c r="H263" s="2" t="s">
        <v>74</v>
      </c>
      <c r="I263" s="2" t="s">
        <v>79</v>
      </c>
      <c r="J263" s="2">
        <v>710209</v>
      </c>
      <c r="K263" s="2" t="s">
        <v>76</v>
      </c>
      <c r="L263" s="2" t="s">
        <v>77</v>
      </c>
      <c r="M263" s="2" t="s">
        <v>77</v>
      </c>
      <c r="N263" s="2">
        <v>6</v>
      </c>
      <c r="O263" s="2">
        <v>2020</v>
      </c>
      <c r="P263" s="57">
        <v>43983</v>
      </c>
    </row>
    <row r="264" spans="1:16" x14ac:dyDescent="0.35">
      <c r="A264" s="2" t="s">
        <v>92</v>
      </c>
      <c r="B264" s="2">
        <v>1</v>
      </c>
      <c r="C264" s="2">
        <v>1</v>
      </c>
      <c r="D264" s="2">
        <v>1</v>
      </c>
      <c r="E264" s="2">
        <v>1</v>
      </c>
      <c r="F264" s="2">
        <v>1</v>
      </c>
      <c r="G264" s="2" t="s">
        <v>40</v>
      </c>
      <c r="H264" s="2" t="s">
        <v>74</v>
      </c>
      <c r="I264" s="2" t="s">
        <v>79</v>
      </c>
      <c r="J264" s="2">
        <v>710209</v>
      </c>
      <c r="K264" s="2" t="s">
        <v>76</v>
      </c>
      <c r="L264" s="2" t="s">
        <v>77</v>
      </c>
      <c r="M264" s="2" t="s">
        <v>77</v>
      </c>
      <c r="N264" s="2">
        <v>6</v>
      </c>
      <c r="O264" s="2">
        <v>2020</v>
      </c>
      <c r="P264" s="57">
        <v>43983</v>
      </c>
    </row>
    <row r="265" spans="1:16" x14ac:dyDescent="0.35">
      <c r="A265" s="2" t="s">
        <v>81</v>
      </c>
      <c r="B265" s="2">
        <v>1</v>
      </c>
      <c r="C265" s="2">
        <v>1</v>
      </c>
      <c r="D265" s="2">
        <v>1</v>
      </c>
      <c r="E265" s="2">
        <v>1</v>
      </c>
      <c r="F265" s="2">
        <v>1</v>
      </c>
      <c r="G265" s="2" t="s">
        <v>42</v>
      </c>
      <c r="H265" s="2" t="s">
        <v>74</v>
      </c>
      <c r="I265" s="2" t="s">
        <v>79</v>
      </c>
      <c r="J265" s="2">
        <v>710209</v>
      </c>
      <c r="K265" s="2" t="s">
        <v>76</v>
      </c>
      <c r="L265" s="2" t="s">
        <v>77</v>
      </c>
      <c r="M265" s="2" t="s">
        <v>77</v>
      </c>
      <c r="N265" s="2">
        <v>6</v>
      </c>
      <c r="O265" s="2">
        <v>2020</v>
      </c>
      <c r="P265" s="57">
        <v>43983</v>
      </c>
    </row>
    <row r="266" spans="1:16" x14ac:dyDescent="0.35">
      <c r="A266" s="2" t="s">
        <v>81</v>
      </c>
      <c r="B266" s="2">
        <v>2</v>
      </c>
      <c r="C266" s="2">
        <v>4</v>
      </c>
      <c r="D266" s="2">
        <v>5</v>
      </c>
      <c r="E266" s="2">
        <v>3</v>
      </c>
      <c r="F266" s="2">
        <v>2</v>
      </c>
      <c r="G266" s="2" t="s">
        <v>42</v>
      </c>
      <c r="H266" s="2" t="s">
        <v>74</v>
      </c>
      <c r="I266" s="2" t="s">
        <v>79</v>
      </c>
      <c r="J266" s="2">
        <v>710209</v>
      </c>
      <c r="K266" s="2" t="s">
        <v>76</v>
      </c>
      <c r="L266" s="2" t="s">
        <v>77</v>
      </c>
      <c r="M266" s="2" t="s">
        <v>77</v>
      </c>
      <c r="N266" s="2">
        <v>6</v>
      </c>
      <c r="O266" s="2">
        <v>2020</v>
      </c>
      <c r="P266" s="57">
        <v>43983</v>
      </c>
    </row>
    <row r="267" spans="1:16" x14ac:dyDescent="0.35">
      <c r="A267" s="2" t="s">
        <v>82</v>
      </c>
      <c r="B267" s="2">
        <v>1</v>
      </c>
      <c r="C267" s="2">
        <v>2</v>
      </c>
      <c r="D267" s="2">
        <v>2</v>
      </c>
      <c r="E267" s="2">
        <v>1</v>
      </c>
      <c r="F267" s="2">
        <v>1</v>
      </c>
      <c r="G267" s="2" t="s">
        <v>40</v>
      </c>
      <c r="H267" s="2" t="s">
        <v>83</v>
      </c>
      <c r="I267" s="2" t="s">
        <v>79</v>
      </c>
      <c r="J267" s="2">
        <v>710209</v>
      </c>
      <c r="K267" s="2" t="s">
        <v>76</v>
      </c>
      <c r="L267" s="2" t="s">
        <v>77</v>
      </c>
      <c r="M267" s="2" t="s">
        <v>77</v>
      </c>
      <c r="N267" s="2">
        <v>6</v>
      </c>
      <c r="O267" s="2">
        <v>2020</v>
      </c>
      <c r="P267" s="57">
        <v>43983</v>
      </c>
    </row>
    <row r="268" spans="1:16" x14ac:dyDescent="0.35">
      <c r="A268" s="2" t="s">
        <v>82</v>
      </c>
      <c r="B268" s="2">
        <v>1</v>
      </c>
      <c r="C268" s="2">
        <v>1</v>
      </c>
      <c r="D268" s="2">
        <v>1</v>
      </c>
      <c r="E268" s="2">
        <v>1</v>
      </c>
      <c r="F268" s="2">
        <v>1</v>
      </c>
      <c r="G268" s="2" t="s">
        <v>103</v>
      </c>
      <c r="H268" s="2" t="s">
        <v>83</v>
      </c>
      <c r="I268" s="2" t="s">
        <v>79</v>
      </c>
      <c r="J268" s="2">
        <v>710209</v>
      </c>
      <c r="K268" s="2" t="s">
        <v>76</v>
      </c>
      <c r="L268" s="2" t="s">
        <v>77</v>
      </c>
      <c r="M268" s="2" t="s">
        <v>77</v>
      </c>
      <c r="N268" s="2">
        <v>6</v>
      </c>
      <c r="O268" s="2">
        <v>2020</v>
      </c>
      <c r="P268" s="57">
        <v>43983</v>
      </c>
    </row>
    <row r="269" spans="1:16" x14ac:dyDescent="0.35">
      <c r="A269" s="2" t="s">
        <v>94</v>
      </c>
      <c r="B269" s="2">
        <v>1</v>
      </c>
      <c r="C269" s="2">
        <v>1</v>
      </c>
      <c r="D269" s="2">
        <v>1</v>
      </c>
      <c r="E269" s="2">
        <v>1</v>
      </c>
      <c r="F269" s="2">
        <v>1</v>
      </c>
      <c r="G269" s="2" t="s">
        <v>42</v>
      </c>
      <c r="H269" s="2" t="s">
        <v>74</v>
      </c>
      <c r="I269" s="2" t="s">
        <v>95</v>
      </c>
      <c r="J269" s="2">
        <v>750318</v>
      </c>
      <c r="K269" s="2" t="s">
        <v>76</v>
      </c>
      <c r="L269" s="2" t="s">
        <v>77</v>
      </c>
      <c r="M269" s="2" t="s">
        <v>77</v>
      </c>
      <c r="N269" s="2">
        <v>6</v>
      </c>
      <c r="O269" s="2">
        <v>2020</v>
      </c>
      <c r="P269" s="57">
        <v>43983</v>
      </c>
    </row>
    <row r="270" spans="1:16" x14ac:dyDescent="0.35">
      <c r="A270" s="2" t="s">
        <v>78</v>
      </c>
      <c r="B270" s="2">
        <v>1</v>
      </c>
      <c r="C270" s="2">
        <v>1</v>
      </c>
      <c r="D270" s="2">
        <v>1</v>
      </c>
      <c r="E270" s="2">
        <v>1</v>
      </c>
      <c r="F270" s="2">
        <v>1</v>
      </c>
      <c r="G270" s="2" t="s">
        <v>42</v>
      </c>
      <c r="H270" s="2" t="s">
        <v>74</v>
      </c>
      <c r="I270" s="2" t="s">
        <v>79</v>
      </c>
      <c r="J270" s="2">
        <v>710209</v>
      </c>
      <c r="K270" s="2" t="s">
        <v>76</v>
      </c>
      <c r="L270" s="2" t="s">
        <v>77</v>
      </c>
      <c r="M270" s="2" t="s">
        <v>77</v>
      </c>
      <c r="N270" s="2">
        <v>6</v>
      </c>
      <c r="O270" s="2">
        <v>2021</v>
      </c>
      <c r="P270" s="57">
        <v>44348</v>
      </c>
    </row>
    <row r="271" spans="1:16" x14ac:dyDescent="0.35">
      <c r="A271" s="2" t="s">
        <v>80</v>
      </c>
      <c r="B271" s="2">
        <v>1</v>
      </c>
      <c r="C271" s="2">
        <v>1</v>
      </c>
      <c r="D271" s="2">
        <v>1</v>
      </c>
      <c r="E271" s="2">
        <v>1</v>
      </c>
      <c r="F271" s="2">
        <v>1</v>
      </c>
      <c r="G271" s="2" t="s">
        <v>42</v>
      </c>
      <c r="H271" s="2" t="s">
        <v>74</v>
      </c>
      <c r="I271" s="2" t="s">
        <v>79</v>
      </c>
      <c r="J271" s="2">
        <v>710209</v>
      </c>
      <c r="K271" s="2" t="s">
        <v>76</v>
      </c>
      <c r="L271" s="2" t="s">
        <v>77</v>
      </c>
      <c r="M271" s="2" t="s">
        <v>77</v>
      </c>
      <c r="N271" s="2">
        <v>6</v>
      </c>
      <c r="O271" s="2">
        <v>2021</v>
      </c>
      <c r="P271" s="57">
        <v>44348</v>
      </c>
    </row>
    <row r="272" spans="1:16" x14ac:dyDescent="0.35">
      <c r="A272" s="2" t="s">
        <v>112</v>
      </c>
      <c r="B272" s="2">
        <v>1</v>
      </c>
      <c r="C272" s="2">
        <v>1</v>
      </c>
      <c r="D272" s="2">
        <v>1</v>
      </c>
      <c r="E272" s="2">
        <v>1</v>
      </c>
      <c r="F272" s="2">
        <v>1</v>
      </c>
      <c r="G272" s="2" t="s">
        <v>40</v>
      </c>
      <c r="H272" s="2" t="s">
        <v>83</v>
      </c>
      <c r="I272" s="2" t="s">
        <v>85</v>
      </c>
      <c r="J272" s="2">
        <v>555141</v>
      </c>
      <c r="K272" s="2" t="s">
        <v>76</v>
      </c>
      <c r="L272" s="2" t="s">
        <v>77</v>
      </c>
      <c r="M272" s="2" t="s">
        <v>77</v>
      </c>
      <c r="N272" s="2">
        <v>6</v>
      </c>
      <c r="O272" s="2">
        <v>2021</v>
      </c>
      <c r="P272" s="57">
        <v>44348</v>
      </c>
    </row>
    <row r="273" spans="1:16" x14ac:dyDescent="0.35">
      <c r="A273" s="2" t="s">
        <v>81</v>
      </c>
      <c r="B273" s="2">
        <v>4</v>
      </c>
      <c r="C273" s="2">
        <v>9</v>
      </c>
      <c r="D273" s="2">
        <v>9</v>
      </c>
      <c r="E273" s="2">
        <v>4</v>
      </c>
      <c r="F273" s="2">
        <v>4</v>
      </c>
      <c r="G273" s="2" t="s">
        <v>42</v>
      </c>
      <c r="H273" s="2" t="s">
        <v>74</v>
      </c>
      <c r="I273" s="2" t="s">
        <v>79</v>
      </c>
      <c r="J273" s="2">
        <v>710209</v>
      </c>
      <c r="K273" s="2" t="s">
        <v>76</v>
      </c>
      <c r="L273" s="2" t="s">
        <v>77</v>
      </c>
      <c r="M273" s="2" t="s">
        <v>77</v>
      </c>
      <c r="N273" s="2">
        <v>6</v>
      </c>
      <c r="O273" s="2">
        <v>2021</v>
      </c>
      <c r="P273" s="57">
        <v>44348</v>
      </c>
    </row>
    <row r="274" spans="1:16" x14ac:dyDescent="0.35">
      <c r="A274" s="2" t="s">
        <v>82</v>
      </c>
      <c r="B274" s="2">
        <v>1</v>
      </c>
      <c r="C274" s="2">
        <v>3</v>
      </c>
      <c r="D274" s="2">
        <v>3</v>
      </c>
      <c r="E274" s="2">
        <v>1</v>
      </c>
      <c r="F274" s="2">
        <v>1</v>
      </c>
      <c r="G274" s="2" t="s">
        <v>37</v>
      </c>
      <c r="H274" s="2" t="s">
        <v>83</v>
      </c>
      <c r="I274" s="2" t="s">
        <v>79</v>
      </c>
      <c r="J274" s="2">
        <v>710209</v>
      </c>
      <c r="K274" s="2" t="s">
        <v>76</v>
      </c>
      <c r="L274" s="2" t="s">
        <v>77</v>
      </c>
      <c r="M274" s="2" t="s">
        <v>77</v>
      </c>
      <c r="N274" s="2">
        <v>6</v>
      </c>
      <c r="O274" s="2">
        <v>2021</v>
      </c>
      <c r="P274" s="57">
        <v>44348</v>
      </c>
    </row>
    <row r="275" spans="1:16" x14ac:dyDescent="0.35">
      <c r="A275" s="2" t="s">
        <v>82</v>
      </c>
      <c r="B275" s="2">
        <v>1</v>
      </c>
      <c r="C275" s="2">
        <v>2</v>
      </c>
      <c r="D275" s="2">
        <v>2</v>
      </c>
      <c r="E275" s="2">
        <v>1</v>
      </c>
      <c r="F275" s="2">
        <v>1</v>
      </c>
      <c r="G275" s="2" t="s">
        <v>37</v>
      </c>
      <c r="H275" s="2" t="s">
        <v>83</v>
      </c>
      <c r="I275" s="2" t="s">
        <v>79</v>
      </c>
      <c r="J275" s="2">
        <v>710209</v>
      </c>
      <c r="K275" s="2" t="s">
        <v>76</v>
      </c>
      <c r="L275" s="2" t="s">
        <v>77</v>
      </c>
      <c r="M275" s="2" t="s">
        <v>77</v>
      </c>
      <c r="N275" s="2">
        <v>6</v>
      </c>
      <c r="O275" s="2">
        <v>2021</v>
      </c>
      <c r="P275" s="57">
        <v>44348</v>
      </c>
    </row>
    <row r="276" spans="1:16" x14ac:dyDescent="0.35">
      <c r="A276" s="2" t="s">
        <v>94</v>
      </c>
      <c r="B276" s="2">
        <v>1</v>
      </c>
      <c r="C276" s="2">
        <v>2</v>
      </c>
      <c r="D276" s="2">
        <v>2</v>
      </c>
      <c r="E276" s="2">
        <v>1</v>
      </c>
      <c r="F276" s="2">
        <v>1</v>
      </c>
      <c r="G276" s="2" t="s">
        <v>40</v>
      </c>
      <c r="H276" s="2" t="s">
        <v>74</v>
      </c>
      <c r="I276" s="2" t="s">
        <v>95</v>
      </c>
      <c r="J276" s="2">
        <v>750318</v>
      </c>
      <c r="K276" s="2" t="s">
        <v>76</v>
      </c>
      <c r="L276" s="2" t="s">
        <v>77</v>
      </c>
      <c r="M276" s="2" t="s">
        <v>77</v>
      </c>
      <c r="N276" s="2">
        <v>6</v>
      </c>
      <c r="O276" s="2">
        <v>2021</v>
      </c>
      <c r="P276" s="57">
        <v>44348</v>
      </c>
    </row>
    <row r="277" spans="1:16" x14ac:dyDescent="0.35">
      <c r="A277" s="2" t="s">
        <v>86</v>
      </c>
      <c r="B277" s="2">
        <v>1</v>
      </c>
      <c r="C277" s="2">
        <v>1</v>
      </c>
      <c r="D277" s="2">
        <v>1</v>
      </c>
      <c r="E277" s="2">
        <v>1</v>
      </c>
      <c r="F277" s="2">
        <v>1</v>
      </c>
      <c r="G277" s="2" t="s">
        <v>37</v>
      </c>
      <c r="H277" s="2" t="s">
        <v>87</v>
      </c>
      <c r="I277" s="2" t="s">
        <v>79</v>
      </c>
      <c r="J277" s="2">
        <v>710209</v>
      </c>
      <c r="K277" s="2" t="s">
        <v>76</v>
      </c>
      <c r="L277" s="2" t="s">
        <v>77</v>
      </c>
      <c r="M277" s="2" t="s">
        <v>77</v>
      </c>
      <c r="N277" s="2">
        <v>6</v>
      </c>
      <c r="O277" s="2">
        <v>2021</v>
      </c>
      <c r="P277" s="57">
        <v>44348</v>
      </c>
    </row>
    <row r="278" spans="1:16" x14ac:dyDescent="0.35">
      <c r="A278" s="2" t="s">
        <v>86</v>
      </c>
      <c r="B278" s="2">
        <v>1</v>
      </c>
      <c r="C278" s="2">
        <v>1</v>
      </c>
      <c r="D278" s="2">
        <v>3</v>
      </c>
      <c r="E278" s="2">
        <v>3</v>
      </c>
      <c r="F278" s="2">
        <v>1</v>
      </c>
      <c r="G278" s="2" t="s">
        <v>37</v>
      </c>
      <c r="H278" s="2" t="s">
        <v>87</v>
      </c>
      <c r="I278" s="2" t="s">
        <v>79</v>
      </c>
      <c r="J278" s="2">
        <v>710209</v>
      </c>
      <c r="K278" s="2" t="s">
        <v>76</v>
      </c>
      <c r="L278" s="2" t="s">
        <v>77</v>
      </c>
      <c r="M278" s="2" t="s">
        <v>77</v>
      </c>
      <c r="N278" s="2">
        <v>6</v>
      </c>
      <c r="O278" s="2">
        <v>2021</v>
      </c>
      <c r="P278" s="57">
        <v>44348</v>
      </c>
    </row>
    <row r="279" spans="1:16" x14ac:dyDescent="0.35">
      <c r="A279" s="2" t="s">
        <v>86</v>
      </c>
      <c r="B279" s="2">
        <v>1</v>
      </c>
      <c r="C279" s="2">
        <v>1</v>
      </c>
      <c r="D279" s="2">
        <v>1</v>
      </c>
      <c r="E279" s="2">
        <v>1</v>
      </c>
      <c r="F279" s="2">
        <v>1</v>
      </c>
      <c r="G279" s="2" t="s">
        <v>42</v>
      </c>
      <c r="H279" s="2" t="s">
        <v>87</v>
      </c>
      <c r="I279" s="2" t="s">
        <v>79</v>
      </c>
      <c r="J279" s="2">
        <v>710209</v>
      </c>
      <c r="K279" s="2" t="s">
        <v>76</v>
      </c>
      <c r="L279" s="2" t="s">
        <v>77</v>
      </c>
      <c r="M279" s="2" t="s">
        <v>77</v>
      </c>
      <c r="N279" s="2">
        <v>6</v>
      </c>
      <c r="O279" s="2">
        <v>2021</v>
      </c>
      <c r="P279" s="57">
        <v>44348</v>
      </c>
    </row>
    <row r="280" spans="1:16" x14ac:dyDescent="0.35">
      <c r="A280" s="2" t="s">
        <v>88</v>
      </c>
      <c r="B280" s="2">
        <v>1</v>
      </c>
      <c r="C280" s="2">
        <v>1</v>
      </c>
      <c r="D280" s="2">
        <v>1</v>
      </c>
      <c r="E280" s="2">
        <v>1</v>
      </c>
      <c r="F280" s="2">
        <v>1</v>
      </c>
      <c r="G280" s="2" t="s">
        <v>40</v>
      </c>
      <c r="H280" s="2" t="s">
        <v>74</v>
      </c>
      <c r="I280" s="2" t="s">
        <v>79</v>
      </c>
      <c r="J280" s="2">
        <v>710209</v>
      </c>
      <c r="K280" s="2" t="s">
        <v>76</v>
      </c>
      <c r="L280" s="2" t="s">
        <v>77</v>
      </c>
      <c r="M280" s="2" t="s">
        <v>77</v>
      </c>
      <c r="N280" s="2">
        <v>6</v>
      </c>
      <c r="O280" s="2">
        <v>2021</v>
      </c>
      <c r="P280" s="57">
        <v>44348</v>
      </c>
    </row>
    <row r="281" spans="1:16" x14ac:dyDescent="0.35">
      <c r="A281" s="2" t="s">
        <v>80</v>
      </c>
      <c r="B281" s="2">
        <v>1</v>
      </c>
      <c r="C281" s="2">
        <v>1</v>
      </c>
      <c r="D281" s="2">
        <v>1</v>
      </c>
      <c r="E281" s="2">
        <v>1</v>
      </c>
      <c r="F281" s="2">
        <v>1</v>
      </c>
      <c r="G281" s="2" t="s">
        <v>42</v>
      </c>
      <c r="H281" s="2" t="s">
        <v>74</v>
      </c>
      <c r="I281" s="2" t="s">
        <v>93</v>
      </c>
      <c r="J281" s="2">
        <v>710209</v>
      </c>
      <c r="K281" s="2" t="s">
        <v>76</v>
      </c>
      <c r="L281" s="2" t="s">
        <v>77</v>
      </c>
      <c r="M281" s="2" t="s">
        <v>77</v>
      </c>
      <c r="N281" s="2">
        <v>6</v>
      </c>
      <c r="O281" s="2">
        <v>2022</v>
      </c>
      <c r="P281" s="57">
        <v>44713</v>
      </c>
    </row>
    <row r="282" spans="1:16" x14ac:dyDescent="0.35">
      <c r="A282" s="2" t="s">
        <v>86</v>
      </c>
      <c r="B282" s="2">
        <v>1</v>
      </c>
      <c r="C282" s="2">
        <v>1</v>
      </c>
      <c r="D282" s="2">
        <v>1</v>
      </c>
      <c r="E282" s="2">
        <v>1</v>
      </c>
      <c r="F282" s="2">
        <v>1</v>
      </c>
      <c r="G282" s="2" t="s">
        <v>42</v>
      </c>
      <c r="H282" s="2" t="s">
        <v>87</v>
      </c>
      <c r="I282" s="2" t="s">
        <v>93</v>
      </c>
      <c r="J282" s="2">
        <v>710209</v>
      </c>
      <c r="K282" s="2" t="s">
        <v>76</v>
      </c>
      <c r="L282" s="2" t="s">
        <v>77</v>
      </c>
      <c r="M282" s="2" t="s">
        <v>77</v>
      </c>
      <c r="N282" s="2">
        <v>6</v>
      </c>
      <c r="O282" s="2">
        <v>2022</v>
      </c>
      <c r="P282" s="57">
        <v>44713</v>
      </c>
    </row>
    <row r="283" spans="1:16" x14ac:dyDescent="0.35">
      <c r="A283" s="2" t="s">
        <v>78</v>
      </c>
      <c r="B283" s="2">
        <v>1</v>
      </c>
      <c r="C283" s="2">
        <v>1</v>
      </c>
      <c r="D283" s="2">
        <v>1</v>
      </c>
      <c r="E283" s="2">
        <v>1</v>
      </c>
      <c r="F283" s="2">
        <v>1</v>
      </c>
      <c r="G283" s="2" t="s">
        <v>42</v>
      </c>
      <c r="H283" s="2" t="s">
        <v>74</v>
      </c>
      <c r="I283" s="2" t="s">
        <v>98</v>
      </c>
      <c r="J283" s="2">
        <v>710209</v>
      </c>
      <c r="K283" s="2" t="s">
        <v>76</v>
      </c>
      <c r="L283" s="2" t="s">
        <v>77</v>
      </c>
      <c r="M283" s="2" t="s">
        <v>77</v>
      </c>
      <c r="N283" s="2">
        <v>6</v>
      </c>
      <c r="O283" s="2">
        <v>2023</v>
      </c>
      <c r="P283" s="57">
        <v>45078</v>
      </c>
    </row>
    <row r="284" spans="1:16" x14ac:dyDescent="0.35">
      <c r="A284" s="2" t="s">
        <v>78</v>
      </c>
      <c r="B284" s="2">
        <v>3</v>
      </c>
      <c r="C284" s="2">
        <v>6</v>
      </c>
      <c r="D284" s="2">
        <v>6</v>
      </c>
      <c r="E284" s="2">
        <v>3</v>
      </c>
      <c r="F284" s="2">
        <v>3</v>
      </c>
      <c r="G284" s="2" t="s">
        <v>37</v>
      </c>
      <c r="H284" s="2" t="s">
        <v>74</v>
      </c>
      <c r="I284" s="2" t="s">
        <v>98</v>
      </c>
      <c r="J284" s="2">
        <v>710209</v>
      </c>
      <c r="K284" s="2" t="s">
        <v>76</v>
      </c>
      <c r="L284" s="2" t="s">
        <v>77</v>
      </c>
      <c r="M284" s="2" t="s">
        <v>77</v>
      </c>
      <c r="N284" s="2">
        <v>6</v>
      </c>
      <c r="O284" s="2">
        <v>2023</v>
      </c>
      <c r="P284" s="57">
        <v>45078</v>
      </c>
    </row>
    <row r="285" spans="1:16" x14ac:dyDescent="0.35">
      <c r="A285" s="2" t="s">
        <v>78</v>
      </c>
      <c r="B285" s="2">
        <v>1</v>
      </c>
      <c r="C285" s="2">
        <v>1</v>
      </c>
      <c r="D285" s="2">
        <v>1</v>
      </c>
      <c r="E285" s="2">
        <v>1</v>
      </c>
      <c r="F285" s="2">
        <v>1</v>
      </c>
      <c r="G285" s="2" t="s">
        <v>42</v>
      </c>
      <c r="H285" s="2" t="s">
        <v>74</v>
      </c>
      <c r="I285" s="2" t="s">
        <v>98</v>
      </c>
      <c r="J285" s="2">
        <v>710209</v>
      </c>
      <c r="K285" s="2" t="s">
        <v>76</v>
      </c>
      <c r="L285" s="2" t="s">
        <v>77</v>
      </c>
      <c r="M285" s="2" t="s">
        <v>77</v>
      </c>
      <c r="N285" s="2">
        <v>6</v>
      </c>
      <c r="O285" s="2">
        <v>2023</v>
      </c>
      <c r="P285" s="57">
        <v>45078</v>
      </c>
    </row>
    <row r="286" spans="1:16" x14ac:dyDescent="0.35">
      <c r="A286" s="2" t="s">
        <v>80</v>
      </c>
      <c r="B286" s="2">
        <v>1</v>
      </c>
      <c r="C286" s="2">
        <v>2</v>
      </c>
      <c r="D286" s="2">
        <v>2</v>
      </c>
      <c r="E286" s="2">
        <v>1</v>
      </c>
      <c r="F286" s="2">
        <v>1</v>
      </c>
      <c r="G286" s="2" t="s">
        <v>40</v>
      </c>
      <c r="H286" s="2" t="s">
        <v>74</v>
      </c>
      <c r="I286" s="2" t="s">
        <v>98</v>
      </c>
      <c r="J286" s="2">
        <v>710209</v>
      </c>
      <c r="K286" s="2" t="s">
        <v>76</v>
      </c>
      <c r="L286" s="2" t="s">
        <v>77</v>
      </c>
      <c r="M286" s="2" t="s">
        <v>77</v>
      </c>
      <c r="N286" s="2">
        <v>6</v>
      </c>
      <c r="O286" s="2">
        <v>2023</v>
      </c>
      <c r="P286" s="57">
        <v>45078</v>
      </c>
    </row>
    <row r="287" spans="1:16" x14ac:dyDescent="0.35">
      <c r="A287" s="2" t="s">
        <v>81</v>
      </c>
      <c r="B287" s="2">
        <v>8</v>
      </c>
      <c r="C287" s="2">
        <v>13</v>
      </c>
      <c r="D287" s="2">
        <v>13</v>
      </c>
      <c r="E287" s="2">
        <v>8</v>
      </c>
      <c r="F287" s="2">
        <v>5</v>
      </c>
      <c r="G287" s="2" t="s">
        <v>37</v>
      </c>
      <c r="H287" s="2" t="s">
        <v>74</v>
      </c>
      <c r="I287" s="2" t="s">
        <v>98</v>
      </c>
      <c r="J287" s="2">
        <v>710209</v>
      </c>
      <c r="K287" s="2" t="s">
        <v>76</v>
      </c>
      <c r="L287" s="2" t="s">
        <v>77</v>
      </c>
      <c r="M287" s="2" t="s">
        <v>77</v>
      </c>
      <c r="N287" s="2">
        <v>6</v>
      </c>
      <c r="O287" s="2">
        <v>2023</v>
      </c>
      <c r="P287" s="57">
        <v>45078</v>
      </c>
    </row>
    <row r="288" spans="1:16" x14ac:dyDescent="0.35">
      <c r="A288" s="2" t="s">
        <v>82</v>
      </c>
      <c r="B288" s="2">
        <v>1</v>
      </c>
      <c r="C288" s="2">
        <v>1</v>
      </c>
      <c r="D288" s="2">
        <v>1</v>
      </c>
      <c r="E288" s="2">
        <v>1</v>
      </c>
      <c r="F288" s="2">
        <v>1</v>
      </c>
      <c r="G288" s="2" t="s">
        <v>40</v>
      </c>
      <c r="H288" s="2" t="s">
        <v>83</v>
      </c>
      <c r="I288" s="2" t="s">
        <v>98</v>
      </c>
      <c r="J288" s="2">
        <v>710209</v>
      </c>
      <c r="K288" s="2" t="s">
        <v>76</v>
      </c>
      <c r="L288" s="2" t="s">
        <v>77</v>
      </c>
      <c r="M288" s="2" t="s">
        <v>77</v>
      </c>
      <c r="N288" s="2">
        <v>6</v>
      </c>
      <c r="O288" s="2">
        <v>2023</v>
      </c>
      <c r="P288" s="57">
        <v>45078</v>
      </c>
    </row>
    <row r="289" spans="1:16" x14ac:dyDescent="0.35">
      <c r="A289" s="2" t="s">
        <v>82</v>
      </c>
      <c r="B289" s="2">
        <v>6</v>
      </c>
      <c r="C289" s="2">
        <v>9</v>
      </c>
      <c r="D289" s="2">
        <v>10</v>
      </c>
      <c r="E289" s="2">
        <v>7</v>
      </c>
      <c r="F289" s="2">
        <v>1</v>
      </c>
      <c r="G289" s="2" t="s">
        <v>37</v>
      </c>
      <c r="H289" s="2" t="s">
        <v>83</v>
      </c>
      <c r="I289" s="2" t="s">
        <v>98</v>
      </c>
      <c r="J289" s="2">
        <v>710209</v>
      </c>
      <c r="K289" s="2" t="s">
        <v>76</v>
      </c>
      <c r="L289" s="2" t="s">
        <v>77</v>
      </c>
      <c r="M289" s="2" t="s">
        <v>77</v>
      </c>
      <c r="N289" s="2">
        <v>6</v>
      </c>
      <c r="O289" s="2">
        <v>2023</v>
      </c>
      <c r="P289" s="57">
        <v>45078</v>
      </c>
    </row>
    <row r="290" spans="1:16" x14ac:dyDescent="0.35">
      <c r="A290" s="2" t="s">
        <v>94</v>
      </c>
      <c r="B290" s="2">
        <v>1</v>
      </c>
      <c r="C290" s="2">
        <v>1</v>
      </c>
      <c r="D290" s="2">
        <v>1</v>
      </c>
      <c r="E290" s="2">
        <v>1</v>
      </c>
      <c r="F290" s="2">
        <v>1</v>
      </c>
      <c r="G290" s="2" t="s">
        <v>40</v>
      </c>
      <c r="H290" s="2" t="s">
        <v>74</v>
      </c>
      <c r="I290" s="2" t="s">
        <v>95</v>
      </c>
      <c r="J290" s="2">
        <v>750318</v>
      </c>
      <c r="K290" s="2" t="s">
        <v>76</v>
      </c>
      <c r="L290" s="2" t="s">
        <v>77</v>
      </c>
      <c r="M290" s="2" t="s">
        <v>77</v>
      </c>
      <c r="N290" s="2">
        <v>6</v>
      </c>
      <c r="O290" s="2">
        <v>2023</v>
      </c>
      <c r="P290" s="57">
        <v>45078</v>
      </c>
    </row>
    <row r="291" spans="1:16" x14ac:dyDescent="0.35">
      <c r="A291" s="2" t="s">
        <v>94</v>
      </c>
      <c r="B291" s="2">
        <v>1</v>
      </c>
      <c r="C291" s="2">
        <v>3</v>
      </c>
      <c r="D291" s="2">
        <v>3</v>
      </c>
      <c r="E291" s="2">
        <v>1</v>
      </c>
      <c r="F291" s="2">
        <v>1</v>
      </c>
      <c r="G291" s="2" t="s">
        <v>37</v>
      </c>
      <c r="H291" s="2" t="s">
        <v>74</v>
      </c>
      <c r="I291" s="2" t="s">
        <v>95</v>
      </c>
      <c r="J291" s="2">
        <v>750318</v>
      </c>
      <c r="K291" s="2" t="s">
        <v>76</v>
      </c>
      <c r="L291" s="2" t="s">
        <v>77</v>
      </c>
      <c r="M291" s="2" t="s">
        <v>77</v>
      </c>
      <c r="N291" s="2">
        <v>6</v>
      </c>
      <c r="O291" s="2">
        <v>2023</v>
      </c>
      <c r="P291" s="57">
        <v>45078</v>
      </c>
    </row>
    <row r="292" spans="1:16" x14ac:dyDescent="0.35">
      <c r="A292" s="2" t="s">
        <v>113</v>
      </c>
      <c r="B292" s="2">
        <v>1</v>
      </c>
      <c r="C292" s="2">
        <v>2</v>
      </c>
      <c r="D292" s="2">
        <v>2</v>
      </c>
      <c r="E292" s="2">
        <v>1</v>
      </c>
      <c r="F292" s="2">
        <v>1</v>
      </c>
      <c r="G292" s="2" t="s">
        <v>37</v>
      </c>
      <c r="H292" s="2" t="s">
        <v>87</v>
      </c>
      <c r="I292" s="2" t="s">
        <v>98</v>
      </c>
      <c r="J292" s="2">
        <v>710209</v>
      </c>
      <c r="K292" s="2" t="s">
        <v>76</v>
      </c>
      <c r="L292" s="2" t="s">
        <v>77</v>
      </c>
      <c r="M292" s="2" t="s">
        <v>77</v>
      </c>
      <c r="N292" s="2">
        <v>6</v>
      </c>
      <c r="O292" s="2">
        <v>2023</v>
      </c>
      <c r="P292" s="57">
        <v>45078</v>
      </c>
    </row>
    <row r="293" spans="1:16" x14ac:dyDescent="0.35">
      <c r="A293" s="2" t="s">
        <v>88</v>
      </c>
      <c r="B293" s="2">
        <v>1</v>
      </c>
      <c r="C293" s="2">
        <v>3</v>
      </c>
      <c r="D293" s="2">
        <v>4</v>
      </c>
      <c r="E293" s="2">
        <v>2</v>
      </c>
      <c r="F293" s="2">
        <v>1</v>
      </c>
      <c r="G293" s="2" t="s">
        <v>37</v>
      </c>
      <c r="H293" s="2" t="s">
        <v>74</v>
      </c>
      <c r="I293" s="2" t="s">
        <v>98</v>
      </c>
      <c r="J293" s="2">
        <v>710209</v>
      </c>
      <c r="K293" s="2" t="s">
        <v>76</v>
      </c>
      <c r="L293" s="2" t="s">
        <v>77</v>
      </c>
      <c r="M293" s="2" t="s">
        <v>77</v>
      </c>
      <c r="N293" s="2">
        <v>6</v>
      </c>
      <c r="O293" s="2">
        <v>2023</v>
      </c>
      <c r="P293" s="57">
        <v>45078</v>
      </c>
    </row>
    <row r="294" spans="1:16" x14ac:dyDescent="0.35">
      <c r="A294" s="2" t="s">
        <v>89</v>
      </c>
      <c r="B294" s="2">
        <v>1</v>
      </c>
      <c r="C294" s="2">
        <v>1</v>
      </c>
      <c r="D294" s="2">
        <v>1</v>
      </c>
      <c r="E294" s="2">
        <v>1</v>
      </c>
      <c r="F294" s="2">
        <v>1</v>
      </c>
      <c r="G294" s="2" t="s">
        <v>42</v>
      </c>
      <c r="H294" s="2" t="s">
        <v>87</v>
      </c>
      <c r="I294" s="2" t="s">
        <v>79</v>
      </c>
      <c r="J294" s="2">
        <v>710209</v>
      </c>
      <c r="K294" s="2" t="s">
        <v>76</v>
      </c>
      <c r="L294" s="2" t="s">
        <v>77</v>
      </c>
      <c r="M294" s="2" t="s">
        <v>77</v>
      </c>
      <c r="N294" s="2">
        <v>7</v>
      </c>
      <c r="O294" s="2">
        <v>2020</v>
      </c>
      <c r="P294" s="57">
        <v>44013</v>
      </c>
    </row>
    <row r="295" spans="1:16" x14ac:dyDescent="0.35">
      <c r="A295" s="2" t="s">
        <v>80</v>
      </c>
      <c r="B295" s="2">
        <v>2</v>
      </c>
      <c r="C295" s="2">
        <v>2</v>
      </c>
      <c r="D295" s="2">
        <v>2</v>
      </c>
      <c r="E295" s="2">
        <v>2</v>
      </c>
      <c r="F295" s="2">
        <v>2</v>
      </c>
      <c r="G295" s="2" t="s">
        <v>40</v>
      </c>
      <c r="H295" s="2" t="s">
        <v>74</v>
      </c>
      <c r="I295" s="2" t="s">
        <v>79</v>
      </c>
      <c r="J295" s="2">
        <v>710209</v>
      </c>
      <c r="K295" s="2" t="s">
        <v>76</v>
      </c>
      <c r="L295" s="2" t="s">
        <v>77</v>
      </c>
      <c r="M295" s="2" t="s">
        <v>77</v>
      </c>
      <c r="N295" s="2">
        <v>7</v>
      </c>
      <c r="O295" s="2">
        <v>2020</v>
      </c>
      <c r="P295" s="57">
        <v>44013</v>
      </c>
    </row>
    <row r="296" spans="1:16" x14ac:dyDescent="0.35">
      <c r="A296" s="2" t="s">
        <v>80</v>
      </c>
      <c r="B296" s="2">
        <v>3</v>
      </c>
      <c r="C296" s="2">
        <v>5</v>
      </c>
      <c r="D296" s="2">
        <v>5</v>
      </c>
      <c r="E296" s="2">
        <v>3</v>
      </c>
      <c r="F296" s="2">
        <v>2</v>
      </c>
      <c r="G296" s="2" t="s">
        <v>42</v>
      </c>
      <c r="H296" s="2" t="s">
        <v>74</v>
      </c>
      <c r="I296" s="2" t="s">
        <v>79</v>
      </c>
      <c r="J296" s="2">
        <v>710209</v>
      </c>
      <c r="K296" s="2" t="s">
        <v>76</v>
      </c>
      <c r="L296" s="2" t="s">
        <v>77</v>
      </c>
      <c r="M296" s="2" t="s">
        <v>77</v>
      </c>
      <c r="N296" s="2">
        <v>7</v>
      </c>
      <c r="O296" s="2">
        <v>2020</v>
      </c>
      <c r="P296" s="57">
        <v>44013</v>
      </c>
    </row>
    <row r="297" spans="1:16" x14ac:dyDescent="0.35">
      <c r="A297" s="2" t="s">
        <v>81</v>
      </c>
      <c r="B297" s="2">
        <v>1</v>
      </c>
      <c r="C297" s="2">
        <v>1</v>
      </c>
      <c r="D297" s="2">
        <v>1</v>
      </c>
      <c r="E297" s="2">
        <v>1</v>
      </c>
      <c r="F297" s="2">
        <v>1</v>
      </c>
      <c r="G297" s="2" t="s">
        <v>42</v>
      </c>
      <c r="H297" s="2" t="s">
        <v>74</v>
      </c>
      <c r="I297" s="2" t="s">
        <v>79</v>
      </c>
      <c r="J297" s="2">
        <v>710209</v>
      </c>
      <c r="K297" s="2" t="s">
        <v>76</v>
      </c>
      <c r="L297" s="2" t="s">
        <v>77</v>
      </c>
      <c r="M297" s="2" t="s">
        <v>77</v>
      </c>
      <c r="N297" s="2">
        <v>7</v>
      </c>
      <c r="O297" s="2">
        <v>2020</v>
      </c>
      <c r="P297" s="57">
        <v>44013</v>
      </c>
    </row>
    <row r="298" spans="1:16" x14ac:dyDescent="0.35">
      <c r="A298" s="2" t="s">
        <v>81</v>
      </c>
      <c r="B298" s="2">
        <v>2</v>
      </c>
      <c r="C298" s="2">
        <v>2</v>
      </c>
      <c r="D298" s="2">
        <v>2</v>
      </c>
      <c r="E298" s="2">
        <v>2</v>
      </c>
      <c r="F298" s="2">
        <v>2</v>
      </c>
      <c r="G298" s="2" t="s">
        <v>42</v>
      </c>
      <c r="H298" s="2" t="s">
        <v>74</v>
      </c>
      <c r="I298" s="2" t="s">
        <v>79</v>
      </c>
      <c r="J298" s="2">
        <v>710209</v>
      </c>
      <c r="K298" s="2" t="s">
        <v>76</v>
      </c>
      <c r="L298" s="2" t="s">
        <v>77</v>
      </c>
      <c r="M298" s="2" t="s">
        <v>77</v>
      </c>
      <c r="N298" s="2">
        <v>7</v>
      </c>
      <c r="O298" s="2">
        <v>2020</v>
      </c>
      <c r="P298" s="57">
        <v>44013</v>
      </c>
    </row>
    <row r="299" spans="1:16" x14ac:dyDescent="0.35">
      <c r="A299" s="2" t="s">
        <v>94</v>
      </c>
      <c r="B299" s="2">
        <v>2</v>
      </c>
      <c r="C299" s="2">
        <v>2</v>
      </c>
      <c r="D299" s="2">
        <v>2</v>
      </c>
      <c r="E299" s="2">
        <v>2</v>
      </c>
      <c r="F299" s="2">
        <v>2</v>
      </c>
      <c r="G299" s="2" t="s">
        <v>40</v>
      </c>
      <c r="H299" s="2" t="s">
        <v>74</v>
      </c>
      <c r="I299" s="2" t="s">
        <v>95</v>
      </c>
      <c r="J299" s="2">
        <v>750318</v>
      </c>
      <c r="K299" s="2" t="s">
        <v>76</v>
      </c>
      <c r="L299" s="2" t="s">
        <v>77</v>
      </c>
      <c r="M299" s="2" t="s">
        <v>77</v>
      </c>
      <c r="N299" s="2">
        <v>7</v>
      </c>
      <c r="O299" s="2">
        <v>2020</v>
      </c>
      <c r="P299" s="57">
        <v>44013</v>
      </c>
    </row>
    <row r="300" spans="1:16" x14ac:dyDescent="0.35">
      <c r="A300" s="2" t="s">
        <v>86</v>
      </c>
      <c r="B300" s="2">
        <v>2</v>
      </c>
      <c r="C300" s="2">
        <v>2</v>
      </c>
      <c r="D300" s="2">
        <v>2</v>
      </c>
      <c r="E300" s="2">
        <v>2</v>
      </c>
      <c r="F300" s="2">
        <v>2</v>
      </c>
      <c r="G300" s="2" t="s">
        <v>42</v>
      </c>
      <c r="H300" s="2" t="s">
        <v>87</v>
      </c>
      <c r="I300" s="2" t="s">
        <v>79</v>
      </c>
      <c r="J300" s="2">
        <v>710209</v>
      </c>
      <c r="K300" s="2" t="s">
        <v>76</v>
      </c>
      <c r="L300" s="2" t="s">
        <v>77</v>
      </c>
      <c r="M300" s="2" t="s">
        <v>77</v>
      </c>
      <c r="N300" s="2">
        <v>7</v>
      </c>
      <c r="O300" s="2">
        <v>2020</v>
      </c>
      <c r="P300" s="57">
        <v>44013</v>
      </c>
    </row>
    <row r="301" spans="1:16" x14ac:dyDescent="0.35">
      <c r="A301" s="2" t="s">
        <v>78</v>
      </c>
      <c r="B301" s="2">
        <v>1</v>
      </c>
      <c r="C301" s="2">
        <v>1</v>
      </c>
      <c r="D301" s="2">
        <v>1</v>
      </c>
      <c r="E301" s="2">
        <v>1</v>
      </c>
      <c r="F301" s="2">
        <v>1</v>
      </c>
      <c r="G301" s="2" t="s">
        <v>37</v>
      </c>
      <c r="H301" s="2" t="s">
        <v>74</v>
      </c>
      <c r="I301" s="2" t="s">
        <v>79</v>
      </c>
      <c r="J301" s="2">
        <v>710209</v>
      </c>
      <c r="K301" s="2" t="s">
        <v>76</v>
      </c>
      <c r="L301" s="2" t="s">
        <v>77</v>
      </c>
      <c r="M301" s="2" t="s">
        <v>77</v>
      </c>
      <c r="N301" s="2">
        <v>7</v>
      </c>
      <c r="O301" s="2">
        <v>2021</v>
      </c>
      <c r="P301" s="57">
        <v>44378</v>
      </c>
    </row>
    <row r="302" spans="1:16" x14ac:dyDescent="0.35">
      <c r="A302" s="2" t="s">
        <v>78</v>
      </c>
      <c r="B302" s="2">
        <v>1</v>
      </c>
      <c r="C302" s="2">
        <v>2</v>
      </c>
      <c r="D302" s="2">
        <v>2</v>
      </c>
      <c r="E302" s="2">
        <v>1</v>
      </c>
      <c r="F302" s="2">
        <v>1</v>
      </c>
      <c r="G302" s="2" t="s">
        <v>42</v>
      </c>
      <c r="H302" s="2" t="s">
        <v>74</v>
      </c>
      <c r="I302" s="2" t="s">
        <v>79</v>
      </c>
      <c r="J302" s="2">
        <v>710209</v>
      </c>
      <c r="K302" s="2" t="s">
        <v>76</v>
      </c>
      <c r="L302" s="2" t="s">
        <v>77</v>
      </c>
      <c r="M302" s="2" t="s">
        <v>77</v>
      </c>
      <c r="N302" s="2">
        <v>7</v>
      </c>
      <c r="O302" s="2">
        <v>2021</v>
      </c>
      <c r="P302" s="57">
        <v>44378</v>
      </c>
    </row>
    <row r="303" spans="1:16" x14ac:dyDescent="0.35">
      <c r="A303" s="2" t="s">
        <v>114</v>
      </c>
      <c r="B303" s="2">
        <v>1</v>
      </c>
      <c r="C303" s="2">
        <v>1</v>
      </c>
      <c r="D303" s="2">
        <v>1</v>
      </c>
      <c r="E303" s="2">
        <v>1</v>
      </c>
      <c r="F303" s="2">
        <v>1</v>
      </c>
      <c r="G303" s="2" t="s">
        <v>42</v>
      </c>
      <c r="H303" s="2" t="s">
        <v>115</v>
      </c>
      <c r="I303" s="2" t="s">
        <v>85</v>
      </c>
      <c r="J303" s="2">
        <v>555141</v>
      </c>
      <c r="K303" s="2" t="s">
        <v>76</v>
      </c>
      <c r="L303" s="2" t="s">
        <v>77</v>
      </c>
      <c r="M303" s="2" t="s">
        <v>77</v>
      </c>
      <c r="N303" s="2">
        <v>7</v>
      </c>
      <c r="O303" s="2">
        <v>2021</v>
      </c>
      <c r="P303" s="57">
        <v>44378</v>
      </c>
    </row>
    <row r="304" spans="1:16" x14ac:dyDescent="0.35">
      <c r="A304" s="2" t="s">
        <v>92</v>
      </c>
      <c r="B304" s="2">
        <v>2</v>
      </c>
      <c r="C304" s="2">
        <v>2</v>
      </c>
      <c r="D304" s="2">
        <v>2</v>
      </c>
      <c r="E304" s="2">
        <v>2</v>
      </c>
      <c r="F304" s="2">
        <v>2</v>
      </c>
      <c r="G304" s="2" t="s">
        <v>42</v>
      </c>
      <c r="H304" s="2" t="s">
        <v>74</v>
      </c>
      <c r="I304" s="2" t="s">
        <v>79</v>
      </c>
      <c r="J304" s="2">
        <v>710209</v>
      </c>
      <c r="K304" s="2" t="s">
        <v>76</v>
      </c>
      <c r="L304" s="2" t="s">
        <v>77</v>
      </c>
      <c r="M304" s="2" t="s">
        <v>77</v>
      </c>
      <c r="N304" s="2">
        <v>7</v>
      </c>
      <c r="O304" s="2">
        <v>2021</v>
      </c>
      <c r="P304" s="57">
        <v>44378</v>
      </c>
    </row>
    <row r="305" spans="1:16" x14ac:dyDescent="0.35">
      <c r="A305" s="2" t="s">
        <v>81</v>
      </c>
      <c r="B305" s="2">
        <v>1</v>
      </c>
      <c r="C305" s="2">
        <v>1</v>
      </c>
      <c r="D305" s="2">
        <v>1</v>
      </c>
      <c r="E305" s="2">
        <v>1</v>
      </c>
      <c r="F305" s="2">
        <v>1</v>
      </c>
      <c r="G305" s="2" t="s">
        <v>37</v>
      </c>
      <c r="H305" s="2" t="s">
        <v>74</v>
      </c>
      <c r="I305" s="2" t="s">
        <v>79</v>
      </c>
      <c r="J305" s="2">
        <v>710209</v>
      </c>
      <c r="K305" s="2" t="s">
        <v>76</v>
      </c>
      <c r="L305" s="2" t="s">
        <v>77</v>
      </c>
      <c r="M305" s="2" t="s">
        <v>77</v>
      </c>
      <c r="N305" s="2">
        <v>7</v>
      </c>
      <c r="O305" s="2">
        <v>2021</v>
      </c>
      <c r="P305" s="57">
        <v>44378</v>
      </c>
    </row>
    <row r="306" spans="1:16" x14ac:dyDescent="0.35">
      <c r="A306" s="2" t="s">
        <v>81</v>
      </c>
      <c r="B306" s="2">
        <v>1</v>
      </c>
      <c r="C306" s="2">
        <v>1</v>
      </c>
      <c r="D306" s="2">
        <v>1</v>
      </c>
      <c r="E306" s="2">
        <v>1</v>
      </c>
      <c r="F306" s="2">
        <v>1</v>
      </c>
      <c r="G306" s="2" t="s">
        <v>37</v>
      </c>
      <c r="H306" s="2" t="s">
        <v>74</v>
      </c>
      <c r="I306" s="2" t="s">
        <v>79</v>
      </c>
      <c r="J306" s="2">
        <v>710209</v>
      </c>
      <c r="K306" s="2" t="s">
        <v>76</v>
      </c>
      <c r="L306" s="2" t="s">
        <v>77</v>
      </c>
      <c r="M306" s="2" t="s">
        <v>77</v>
      </c>
      <c r="N306" s="2">
        <v>7</v>
      </c>
      <c r="O306" s="2">
        <v>2021</v>
      </c>
      <c r="P306" s="57">
        <v>44378</v>
      </c>
    </row>
    <row r="307" spans="1:16" x14ac:dyDescent="0.35">
      <c r="A307" s="2" t="s">
        <v>82</v>
      </c>
      <c r="B307" s="2">
        <v>1</v>
      </c>
      <c r="C307" s="2">
        <v>4</v>
      </c>
      <c r="D307" s="2">
        <v>4</v>
      </c>
      <c r="E307" s="2">
        <v>1</v>
      </c>
      <c r="F307" s="2">
        <v>1</v>
      </c>
      <c r="G307" s="2" t="s">
        <v>37</v>
      </c>
      <c r="H307" s="2" t="s">
        <v>83</v>
      </c>
      <c r="I307" s="2" t="s">
        <v>79</v>
      </c>
      <c r="J307" s="2">
        <v>710209</v>
      </c>
      <c r="K307" s="2" t="s">
        <v>76</v>
      </c>
      <c r="L307" s="2" t="s">
        <v>77</v>
      </c>
      <c r="M307" s="2" t="s">
        <v>77</v>
      </c>
      <c r="N307" s="2">
        <v>7</v>
      </c>
      <c r="O307" s="2">
        <v>2021</v>
      </c>
      <c r="P307" s="57">
        <v>44378</v>
      </c>
    </row>
    <row r="308" spans="1:16" x14ac:dyDescent="0.35">
      <c r="A308" s="2" t="s">
        <v>82</v>
      </c>
      <c r="B308" s="2">
        <v>1</v>
      </c>
      <c r="C308" s="2">
        <v>1</v>
      </c>
      <c r="D308" s="2">
        <v>1</v>
      </c>
      <c r="E308" s="2">
        <v>1</v>
      </c>
      <c r="F308" s="2">
        <v>1</v>
      </c>
      <c r="G308" s="2" t="s">
        <v>37</v>
      </c>
      <c r="H308" s="2" t="s">
        <v>83</v>
      </c>
      <c r="I308" s="2" t="s">
        <v>79</v>
      </c>
      <c r="J308" s="2">
        <v>710209</v>
      </c>
      <c r="K308" s="2" t="s">
        <v>76</v>
      </c>
      <c r="L308" s="2" t="s">
        <v>77</v>
      </c>
      <c r="M308" s="2" t="s">
        <v>77</v>
      </c>
      <c r="N308" s="2">
        <v>7</v>
      </c>
      <c r="O308" s="2">
        <v>2021</v>
      </c>
      <c r="P308" s="57">
        <v>44378</v>
      </c>
    </row>
    <row r="309" spans="1:16" x14ac:dyDescent="0.35">
      <c r="A309" s="2" t="s">
        <v>82</v>
      </c>
      <c r="B309" s="2">
        <v>1</v>
      </c>
      <c r="C309" s="2">
        <v>1</v>
      </c>
      <c r="D309" s="2">
        <v>1</v>
      </c>
      <c r="E309" s="2">
        <v>1</v>
      </c>
      <c r="F309" s="2">
        <v>1</v>
      </c>
      <c r="G309" s="2" t="s">
        <v>37</v>
      </c>
      <c r="H309" s="2" t="s">
        <v>83</v>
      </c>
      <c r="I309" s="2" t="s">
        <v>79</v>
      </c>
      <c r="J309" s="2">
        <v>710209</v>
      </c>
      <c r="K309" s="2" t="s">
        <v>76</v>
      </c>
      <c r="L309" s="2" t="s">
        <v>77</v>
      </c>
      <c r="M309" s="2" t="s">
        <v>77</v>
      </c>
      <c r="N309" s="2">
        <v>7</v>
      </c>
      <c r="O309" s="2">
        <v>2021</v>
      </c>
      <c r="P309" s="57">
        <v>44378</v>
      </c>
    </row>
    <row r="310" spans="1:16" x14ac:dyDescent="0.35">
      <c r="A310" s="2" t="s">
        <v>82</v>
      </c>
      <c r="B310" s="2">
        <v>1</v>
      </c>
      <c r="C310" s="2">
        <v>1</v>
      </c>
      <c r="D310" s="2">
        <v>1</v>
      </c>
      <c r="E310" s="2">
        <v>1</v>
      </c>
      <c r="F310" s="2">
        <v>1</v>
      </c>
      <c r="G310" s="2" t="s">
        <v>37</v>
      </c>
      <c r="H310" s="2" t="s">
        <v>83</v>
      </c>
      <c r="I310" s="2" t="s">
        <v>79</v>
      </c>
      <c r="J310" s="2">
        <v>710209</v>
      </c>
      <c r="K310" s="2" t="s">
        <v>76</v>
      </c>
      <c r="L310" s="2" t="s">
        <v>77</v>
      </c>
      <c r="M310" s="2" t="s">
        <v>77</v>
      </c>
      <c r="N310" s="2">
        <v>7</v>
      </c>
      <c r="O310" s="2">
        <v>2021</v>
      </c>
      <c r="P310" s="57">
        <v>44378</v>
      </c>
    </row>
    <row r="311" spans="1:16" x14ac:dyDescent="0.35">
      <c r="A311" s="2" t="s">
        <v>94</v>
      </c>
      <c r="B311" s="2">
        <v>1</v>
      </c>
      <c r="C311" s="2">
        <v>1</v>
      </c>
      <c r="D311" s="2">
        <v>1</v>
      </c>
      <c r="E311" s="2">
        <v>1</v>
      </c>
      <c r="F311" s="2">
        <v>1</v>
      </c>
      <c r="G311" s="2" t="s">
        <v>40</v>
      </c>
      <c r="H311" s="2" t="s">
        <v>74</v>
      </c>
      <c r="I311" s="2" t="s">
        <v>95</v>
      </c>
      <c r="J311" s="2">
        <v>750318</v>
      </c>
      <c r="K311" s="2" t="s">
        <v>76</v>
      </c>
      <c r="L311" s="2" t="s">
        <v>77</v>
      </c>
      <c r="M311" s="2" t="s">
        <v>77</v>
      </c>
      <c r="N311" s="2">
        <v>7</v>
      </c>
      <c r="O311" s="2">
        <v>2021</v>
      </c>
      <c r="P311" s="57">
        <v>44378</v>
      </c>
    </row>
    <row r="312" spans="1:16" x14ac:dyDescent="0.35">
      <c r="A312" s="2" t="s">
        <v>94</v>
      </c>
      <c r="B312" s="2">
        <v>3</v>
      </c>
      <c r="C312" s="2">
        <v>4</v>
      </c>
      <c r="D312" s="2">
        <v>4</v>
      </c>
      <c r="E312" s="2">
        <v>3</v>
      </c>
      <c r="F312" s="2">
        <v>3</v>
      </c>
      <c r="G312" s="2" t="s">
        <v>42</v>
      </c>
      <c r="H312" s="2" t="s">
        <v>74</v>
      </c>
      <c r="I312" s="2" t="s">
        <v>95</v>
      </c>
      <c r="J312" s="2">
        <v>750318</v>
      </c>
      <c r="K312" s="2" t="s">
        <v>76</v>
      </c>
      <c r="L312" s="2" t="s">
        <v>77</v>
      </c>
      <c r="M312" s="2" t="s">
        <v>77</v>
      </c>
      <c r="N312" s="2">
        <v>7</v>
      </c>
      <c r="O312" s="2">
        <v>2021</v>
      </c>
      <c r="P312" s="57">
        <v>44378</v>
      </c>
    </row>
    <row r="313" spans="1:16" x14ac:dyDescent="0.35">
      <c r="A313" s="2" t="s">
        <v>94</v>
      </c>
      <c r="B313" s="2">
        <v>5</v>
      </c>
      <c r="C313" s="2">
        <v>9</v>
      </c>
      <c r="D313" s="2">
        <v>9</v>
      </c>
      <c r="E313" s="2">
        <v>5</v>
      </c>
      <c r="F313" s="2">
        <v>2</v>
      </c>
      <c r="G313" s="2" t="s">
        <v>40</v>
      </c>
      <c r="H313" s="2" t="s">
        <v>74</v>
      </c>
      <c r="I313" s="2" t="s">
        <v>95</v>
      </c>
      <c r="J313" s="2">
        <v>750318</v>
      </c>
      <c r="K313" s="2" t="s">
        <v>76</v>
      </c>
      <c r="L313" s="2" t="s">
        <v>77</v>
      </c>
      <c r="M313" s="2" t="s">
        <v>77</v>
      </c>
      <c r="N313" s="2">
        <v>7</v>
      </c>
      <c r="O313" s="2">
        <v>2021</v>
      </c>
      <c r="P313" s="57">
        <v>44378</v>
      </c>
    </row>
    <row r="314" spans="1:16" x14ac:dyDescent="0.35">
      <c r="A314" s="2" t="s">
        <v>94</v>
      </c>
      <c r="B314" s="2">
        <v>3</v>
      </c>
      <c r="C314" s="2">
        <v>7</v>
      </c>
      <c r="D314" s="2">
        <v>7</v>
      </c>
      <c r="E314" s="2">
        <v>3</v>
      </c>
      <c r="F314" s="2">
        <v>2</v>
      </c>
      <c r="G314" s="2" t="s">
        <v>42</v>
      </c>
      <c r="H314" s="2" t="s">
        <v>74</v>
      </c>
      <c r="I314" s="2" t="s">
        <v>95</v>
      </c>
      <c r="J314" s="2">
        <v>750318</v>
      </c>
      <c r="K314" s="2" t="s">
        <v>76</v>
      </c>
      <c r="L314" s="2" t="s">
        <v>77</v>
      </c>
      <c r="M314" s="2" t="s">
        <v>77</v>
      </c>
      <c r="N314" s="2">
        <v>7</v>
      </c>
      <c r="O314" s="2">
        <v>2021</v>
      </c>
      <c r="P314" s="57">
        <v>44378</v>
      </c>
    </row>
    <row r="315" spans="1:16" x14ac:dyDescent="0.35">
      <c r="A315" s="2" t="s">
        <v>78</v>
      </c>
      <c r="B315" s="2">
        <v>3</v>
      </c>
      <c r="C315" s="2">
        <v>4</v>
      </c>
      <c r="D315" s="2">
        <v>4</v>
      </c>
      <c r="E315" s="2">
        <v>3</v>
      </c>
      <c r="F315" s="2">
        <v>3</v>
      </c>
      <c r="G315" s="2" t="s">
        <v>37</v>
      </c>
      <c r="H315" s="2" t="s">
        <v>74</v>
      </c>
      <c r="I315" s="2" t="s">
        <v>93</v>
      </c>
      <c r="J315" s="2">
        <v>710209</v>
      </c>
      <c r="K315" s="2" t="s">
        <v>76</v>
      </c>
      <c r="L315" s="2" t="s">
        <v>77</v>
      </c>
      <c r="M315" s="2" t="s">
        <v>77</v>
      </c>
      <c r="N315" s="2">
        <v>7</v>
      </c>
      <c r="O315" s="2">
        <v>2022</v>
      </c>
      <c r="P315" s="57">
        <v>44743</v>
      </c>
    </row>
    <row r="316" spans="1:16" x14ac:dyDescent="0.35">
      <c r="A316" s="2" t="s">
        <v>81</v>
      </c>
      <c r="B316" s="2">
        <v>1</v>
      </c>
      <c r="C316" s="2">
        <v>1</v>
      </c>
      <c r="D316" s="2">
        <v>1</v>
      </c>
      <c r="E316" s="2">
        <v>1</v>
      </c>
      <c r="F316" s="2">
        <v>1</v>
      </c>
      <c r="G316" s="2" t="s">
        <v>42</v>
      </c>
      <c r="H316" s="2" t="s">
        <v>74</v>
      </c>
      <c r="I316" s="2" t="s">
        <v>93</v>
      </c>
      <c r="J316" s="2">
        <v>710209</v>
      </c>
      <c r="K316" s="2" t="s">
        <v>76</v>
      </c>
      <c r="L316" s="2" t="s">
        <v>77</v>
      </c>
      <c r="M316" s="2" t="s">
        <v>77</v>
      </c>
      <c r="N316" s="2">
        <v>7</v>
      </c>
      <c r="O316" s="2">
        <v>2022</v>
      </c>
      <c r="P316" s="57">
        <v>44743</v>
      </c>
    </row>
    <row r="317" spans="1:16" x14ac:dyDescent="0.35">
      <c r="A317" s="2" t="s">
        <v>81</v>
      </c>
      <c r="B317" s="2">
        <v>1</v>
      </c>
      <c r="C317" s="2">
        <v>1</v>
      </c>
      <c r="D317" s="2">
        <v>1</v>
      </c>
      <c r="E317" s="2">
        <v>1</v>
      </c>
      <c r="F317" s="2">
        <v>1</v>
      </c>
      <c r="G317" s="2" t="s">
        <v>42</v>
      </c>
      <c r="H317" s="2" t="s">
        <v>74</v>
      </c>
      <c r="I317" s="2" t="s">
        <v>93</v>
      </c>
      <c r="J317" s="2">
        <v>710209</v>
      </c>
      <c r="K317" s="2" t="s">
        <v>76</v>
      </c>
      <c r="L317" s="2" t="s">
        <v>77</v>
      </c>
      <c r="M317" s="2" t="s">
        <v>77</v>
      </c>
      <c r="N317" s="2">
        <v>7</v>
      </c>
      <c r="O317" s="2">
        <v>2022</v>
      </c>
      <c r="P317" s="57">
        <v>44743</v>
      </c>
    </row>
    <row r="318" spans="1:16" x14ac:dyDescent="0.35">
      <c r="A318" s="2" t="s">
        <v>116</v>
      </c>
      <c r="B318" s="2">
        <v>1</v>
      </c>
      <c r="C318" s="2">
        <v>1</v>
      </c>
      <c r="D318" s="2">
        <v>1</v>
      </c>
      <c r="E318" s="2">
        <v>1</v>
      </c>
      <c r="F318" s="2">
        <v>1</v>
      </c>
      <c r="G318" s="2" t="s">
        <v>40</v>
      </c>
      <c r="H318" s="2" t="s">
        <v>83</v>
      </c>
      <c r="I318" s="2" t="s">
        <v>93</v>
      </c>
      <c r="J318" s="2">
        <v>710209</v>
      </c>
      <c r="K318" s="2" t="s">
        <v>76</v>
      </c>
      <c r="L318" s="2" t="s">
        <v>77</v>
      </c>
      <c r="M318" s="2" t="s">
        <v>77</v>
      </c>
      <c r="N318" s="2">
        <v>7</v>
      </c>
      <c r="O318" s="2">
        <v>2022</v>
      </c>
      <c r="P318" s="57">
        <v>44743</v>
      </c>
    </row>
    <row r="319" spans="1:16" x14ac:dyDescent="0.35">
      <c r="A319" s="2" t="s">
        <v>94</v>
      </c>
      <c r="B319" s="2">
        <v>1</v>
      </c>
      <c r="C319" s="2">
        <v>1</v>
      </c>
      <c r="D319" s="2">
        <v>1</v>
      </c>
      <c r="E319" s="2">
        <v>1</v>
      </c>
      <c r="F319" s="2">
        <v>1</v>
      </c>
      <c r="G319" s="2" t="s">
        <v>40</v>
      </c>
      <c r="H319" s="2" t="s">
        <v>74</v>
      </c>
      <c r="I319" s="2" t="s">
        <v>95</v>
      </c>
      <c r="J319" s="2">
        <v>750318</v>
      </c>
      <c r="K319" s="2" t="s">
        <v>76</v>
      </c>
      <c r="L319" s="2" t="s">
        <v>77</v>
      </c>
      <c r="M319" s="2" t="s">
        <v>77</v>
      </c>
      <c r="N319" s="2">
        <v>7</v>
      </c>
      <c r="O319" s="2">
        <v>2022</v>
      </c>
      <c r="P319" s="57">
        <v>44743</v>
      </c>
    </row>
    <row r="320" spans="1:16" x14ac:dyDescent="0.35">
      <c r="A320" s="2" t="s">
        <v>97</v>
      </c>
      <c r="B320" s="2">
        <v>2</v>
      </c>
      <c r="C320" s="2">
        <v>4</v>
      </c>
      <c r="D320" s="2">
        <v>6</v>
      </c>
      <c r="E320" s="2">
        <v>4</v>
      </c>
      <c r="F320" s="2">
        <v>2</v>
      </c>
      <c r="G320" s="2" t="s">
        <v>42</v>
      </c>
      <c r="H320" s="2"/>
      <c r="I320" s="2" t="s">
        <v>97</v>
      </c>
      <c r="J320" s="2">
        <v>639813</v>
      </c>
      <c r="K320" s="2" t="s">
        <v>76</v>
      </c>
      <c r="L320" s="2" t="s">
        <v>77</v>
      </c>
      <c r="M320" s="2" t="s">
        <v>77</v>
      </c>
      <c r="N320" s="2">
        <v>7</v>
      </c>
      <c r="O320" s="2">
        <v>2022</v>
      </c>
      <c r="P320" s="57">
        <v>44743</v>
      </c>
    </row>
    <row r="321" spans="1:16" x14ac:dyDescent="0.35">
      <c r="A321" s="2" t="s">
        <v>88</v>
      </c>
      <c r="B321" s="2">
        <v>1</v>
      </c>
      <c r="C321" s="2">
        <v>3</v>
      </c>
      <c r="D321" s="2">
        <v>3</v>
      </c>
      <c r="E321" s="2">
        <v>1</v>
      </c>
      <c r="F321" s="2">
        <v>1</v>
      </c>
      <c r="G321" s="2" t="s">
        <v>42</v>
      </c>
      <c r="H321" s="2" t="s">
        <v>74</v>
      </c>
      <c r="I321" s="2" t="s">
        <v>93</v>
      </c>
      <c r="J321" s="2">
        <v>710209</v>
      </c>
      <c r="K321" s="2" t="s">
        <v>76</v>
      </c>
      <c r="L321" s="2" t="s">
        <v>77</v>
      </c>
      <c r="M321" s="2" t="s">
        <v>77</v>
      </c>
      <c r="N321" s="2">
        <v>7</v>
      </c>
      <c r="O321" s="2">
        <v>2022</v>
      </c>
      <c r="P321" s="57">
        <v>44743</v>
      </c>
    </row>
    <row r="322" spans="1:16" x14ac:dyDescent="0.35">
      <c r="A322" s="2" t="s">
        <v>92</v>
      </c>
      <c r="B322" s="2">
        <v>1</v>
      </c>
      <c r="C322" s="2">
        <v>1</v>
      </c>
      <c r="D322" s="2">
        <v>1</v>
      </c>
      <c r="E322" s="2">
        <v>1</v>
      </c>
      <c r="F322" s="2">
        <v>1</v>
      </c>
      <c r="G322" s="2" t="s">
        <v>42</v>
      </c>
      <c r="H322" s="2" t="s">
        <v>74</v>
      </c>
      <c r="I322" s="2" t="s">
        <v>98</v>
      </c>
      <c r="J322" s="2">
        <v>710209</v>
      </c>
      <c r="K322" s="2" t="s">
        <v>76</v>
      </c>
      <c r="L322" s="2" t="s">
        <v>77</v>
      </c>
      <c r="M322" s="2" t="s">
        <v>77</v>
      </c>
      <c r="N322" s="2">
        <v>7</v>
      </c>
      <c r="O322" s="2">
        <v>2023</v>
      </c>
      <c r="P322" s="57">
        <v>45108</v>
      </c>
    </row>
    <row r="323" spans="1:16" x14ac:dyDescent="0.35">
      <c r="A323" s="2" t="s">
        <v>113</v>
      </c>
      <c r="B323" s="2">
        <v>1</v>
      </c>
      <c r="C323" s="2">
        <v>1</v>
      </c>
      <c r="D323" s="2">
        <v>1</v>
      </c>
      <c r="E323" s="2">
        <v>1</v>
      </c>
      <c r="F323" s="2">
        <v>1</v>
      </c>
      <c r="G323" s="2" t="s">
        <v>42</v>
      </c>
      <c r="H323" s="2" t="s">
        <v>87</v>
      </c>
      <c r="I323" s="2" t="s">
        <v>98</v>
      </c>
      <c r="J323" s="2">
        <v>710209</v>
      </c>
      <c r="K323" s="2" t="s">
        <v>76</v>
      </c>
      <c r="L323" s="2" t="s">
        <v>77</v>
      </c>
      <c r="M323" s="2" t="s">
        <v>77</v>
      </c>
      <c r="N323" s="2">
        <v>7</v>
      </c>
      <c r="O323" s="2">
        <v>2023</v>
      </c>
      <c r="P323" s="57">
        <v>45108</v>
      </c>
    </row>
    <row r="324" spans="1:16" x14ac:dyDescent="0.35">
      <c r="A324" s="2" t="s">
        <v>86</v>
      </c>
      <c r="B324" s="2">
        <v>1</v>
      </c>
      <c r="C324" s="2">
        <v>1</v>
      </c>
      <c r="D324" s="2">
        <v>1</v>
      </c>
      <c r="E324" s="2">
        <v>1</v>
      </c>
      <c r="F324" s="2">
        <v>1</v>
      </c>
      <c r="G324" s="2" t="s">
        <v>42</v>
      </c>
      <c r="H324" s="2" t="s">
        <v>87</v>
      </c>
      <c r="I324" s="2" t="s">
        <v>98</v>
      </c>
      <c r="J324" s="2">
        <v>710209</v>
      </c>
      <c r="K324" s="2" t="s">
        <v>76</v>
      </c>
      <c r="L324" s="2" t="s">
        <v>77</v>
      </c>
      <c r="M324" s="2" t="s">
        <v>77</v>
      </c>
      <c r="N324" s="2">
        <v>7</v>
      </c>
      <c r="O324" s="2">
        <v>2023</v>
      </c>
      <c r="P324" s="57">
        <v>45108</v>
      </c>
    </row>
    <row r="325" spans="1:16" x14ac:dyDescent="0.35">
      <c r="A325" s="2" t="s">
        <v>117</v>
      </c>
      <c r="B325" s="2">
        <v>1</v>
      </c>
      <c r="C325" s="2">
        <v>1</v>
      </c>
      <c r="D325" s="2">
        <v>1</v>
      </c>
      <c r="E325" s="2">
        <v>1</v>
      </c>
      <c r="F325" s="2">
        <v>1</v>
      </c>
      <c r="G325" s="2" t="s">
        <v>42</v>
      </c>
      <c r="H325" s="2" t="s">
        <v>74</v>
      </c>
      <c r="I325" s="2" t="s">
        <v>117</v>
      </c>
      <c r="J325" s="2">
        <v>639807</v>
      </c>
      <c r="K325" s="2" t="s">
        <v>76</v>
      </c>
      <c r="L325" s="2" t="s">
        <v>77</v>
      </c>
      <c r="M325" s="2" t="s">
        <v>77</v>
      </c>
      <c r="N325" s="2">
        <v>8</v>
      </c>
      <c r="O325" s="2">
        <v>2020</v>
      </c>
      <c r="P325" s="57">
        <v>44044</v>
      </c>
    </row>
    <row r="326" spans="1:16" x14ac:dyDescent="0.35">
      <c r="A326" s="2" t="s">
        <v>78</v>
      </c>
      <c r="B326" s="2">
        <v>1</v>
      </c>
      <c r="C326" s="2">
        <v>1</v>
      </c>
      <c r="D326" s="2">
        <v>1</v>
      </c>
      <c r="E326" s="2">
        <v>1</v>
      </c>
      <c r="F326" s="2">
        <v>1</v>
      </c>
      <c r="G326" s="2" t="s">
        <v>42</v>
      </c>
      <c r="H326" s="2" t="s">
        <v>74</v>
      </c>
      <c r="I326" s="2" t="s">
        <v>79</v>
      </c>
      <c r="J326" s="2">
        <v>710209</v>
      </c>
      <c r="K326" s="2" t="s">
        <v>76</v>
      </c>
      <c r="L326" s="2" t="s">
        <v>77</v>
      </c>
      <c r="M326" s="2" t="s">
        <v>77</v>
      </c>
      <c r="N326" s="2">
        <v>8</v>
      </c>
      <c r="O326" s="2">
        <v>2020</v>
      </c>
      <c r="P326" s="57">
        <v>44044</v>
      </c>
    </row>
    <row r="327" spans="1:16" x14ac:dyDescent="0.35">
      <c r="A327" s="2" t="s">
        <v>78</v>
      </c>
      <c r="B327" s="2">
        <v>4</v>
      </c>
      <c r="C327" s="2">
        <v>8</v>
      </c>
      <c r="D327" s="2">
        <v>8</v>
      </c>
      <c r="E327" s="2">
        <v>4</v>
      </c>
      <c r="F327" s="2">
        <v>2</v>
      </c>
      <c r="G327" s="2" t="s">
        <v>42</v>
      </c>
      <c r="H327" s="2" t="s">
        <v>74</v>
      </c>
      <c r="I327" s="2" t="s">
        <v>79</v>
      </c>
      <c r="J327" s="2">
        <v>710209</v>
      </c>
      <c r="K327" s="2" t="s">
        <v>76</v>
      </c>
      <c r="L327" s="2" t="s">
        <v>77</v>
      </c>
      <c r="M327" s="2" t="s">
        <v>77</v>
      </c>
      <c r="N327" s="2">
        <v>8</v>
      </c>
      <c r="O327" s="2">
        <v>2020</v>
      </c>
      <c r="P327" s="57">
        <v>44044</v>
      </c>
    </row>
    <row r="328" spans="1:16" x14ac:dyDescent="0.35">
      <c r="A328" s="2" t="s">
        <v>80</v>
      </c>
      <c r="B328" s="2">
        <v>1</v>
      </c>
      <c r="C328" s="2">
        <v>2</v>
      </c>
      <c r="D328" s="2">
        <v>2</v>
      </c>
      <c r="E328" s="2">
        <v>1</v>
      </c>
      <c r="F328" s="2">
        <v>1</v>
      </c>
      <c r="G328" s="2" t="s">
        <v>40</v>
      </c>
      <c r="H328" s="2" t="s">
        <v>74</v>
      </c>
      <c r="I328" s="2" t="s">
        <v>79</v>
      </c>
      <c r="J328" s="2">
        <v>710209</v>
      </c>
      <c r="K328" s="2" t="s">
        <v>76</v>
      </c>
      <c r="L328" s="2" t="s">
        <v>77</v>
      </c>
      <c r="M328" s="2" t="s">
        <v>77</v>
      </c>
      <c r="N328" s="2">
        <v>8</v>
      </c>
      <c r="O328" s="2">
        <v>2020</v>
      </c>
      <c r="P328" s="57">
        <v>44044</v>
      </c>
    </row>
    <row r="329" spans="1:16" x14ac:dyDescent="0.35">
      <c r="A329" s="2" t="s">
        <v>81</v>
      </c>
      <c r="B329" s="2">
        <v>4</v>
      </c>
      <c r="C329" s="2">
        <v>4</v>
      </c>
      <c r="D329" s="2">
        <v>4</v>
      </c>
      <c r="E329" s="2">
        <v>4</v>
      </c>
      <c r="F329" s="2">
        <v>4</v>
      </c>
      <c r="G329" s="2" t="s">
        <v>42</v>
      </c>
      <c r="H329" s="2" t="s">
        <v>74</v>
      </c>
      <c r="I329" s="2" t="s">
        <v>79</v>
      </c>
      <c r="J329" s="2">
        <v>710209</v>
      </c>
      <c r="K329" s="2" t="s">
        <v>76</v>
      </c>
      <c r="L329" s="2" t="s">
        <v>77</v>
      </c>
      <c r="M329" s="2" t="s">
        <v>77</v>
      </c>
      <c r="N329" s="2">
        <v>8</v>
      </c>
      <c r="O329" s="2">
        <v>2020</v>
      </c>
      <c r="P329" s="57">
        <v>44044</v>
      </c>
    </row>
    <row r="330" spans="1:16" x14ac:dyDescent="0.35">
      <c r="A330" s="2" t="s">
        <v>82</v>
      </c>
      <c r="B330" s="2">
        <v>2</v>
      </c>
      <c r="C330" s="2">
        <v>3</v>
      </c>
      <c r="D330" s="2">
        <v>3</v>
      </c>
      <c r="E330" s="2">
        <v>2</v>
      </c>
      <c r="F330" s="2">
        <v>2</v>
      </c>
      <c r="G330" s="2" t="s">
        <v>40</v>
      </c>
      <c r="H330" s="2" t="s">
        <v>83</v>
      </c>
      <c r="I330" s="2" t="s">
        <v>79</v>
      </c>
      <c r="J330" s="2">
        <v>710209</v>
      </c>
      <c r="K330" s="2" t="s">
        <v>76</v>
      </c>
      <c r="L330" s="2" t="s">
        <v>77</v>
      </c>
      <c r="M330" s="2" t="s">
        <v>77</v>
      </c>
      <c r="N330" s="2">
        <v>8</v>
      </c>
      <c r="O330" s="2">
        <v>2020</v>
      </c>
      <c r="P330" s="57">
        <v>44044</v>
      </c>
    </row>
    <row r="331" spans="1:16" x14ac:dyDescent="0.35">
      <c r="A331" s="2" t="s">
        <v>94</v>
      </c>
      <c r="B331" s="2">
        <v>1</v>
      </c>
      <c r="C331" s="2">
        <v>1</v>
      </c>
      <c r="D331" s="2">
        <v>1</v>
      </c>
      <c r="E331" s="2">
        <v>1</v>
      </c>
      <c r="F331" s="2">
        <v>1</v>
      </c>
      <c r="G331" s="2" t="s">
        <v>40</v>
      </c>
      <c r="H331" s="2" t="s">
        <v>74</v>
      </c>
      <c r="I331" s="2" t="s">
        <v>95</v>
      </c>
      <c r="J331" s="2">
        <v>750318</v>
      </c>
      <c r="K331" s="2" t="s">
        <v>76</v>
      </c>
      <c r="L331" s="2" t="s">
        <v>77</v>
      </c>
      <c r="M331" s="2" t="s">
        <v>77</v>
      </c>
      <c r="N331" s="2">
        <v>8</v>
      </c>
      <c r="O331" s="2">
        <v>2020</v>
      </c>
      <c r="P331" s="57">
        <v>44044</v>
      </c>
    </row>
    <row r="332" spans="1:16" x14ac:dyDescent="0.35">
      <c r="A332" s="2" t="s">
        <v>94</v>
      </c>
      <c r="B332" s="2">
        <v>1</v>
      </c>
      <c r="C332" s="2">
        <v>1</v>
      </c>
      <c r="D332" s="2">
        <v>1</v>
      </c>
      <c r="E332" s="2">
        <v>1</v>
      </c>
      <c r="F332" s="2">
        <v>1</v>
      </c>
      <c r="G332" s="2" t="s">
        <v>42</v>
      </c>
      <c r="H332" s="2" t="s">
        <v>74</v>
      </c>
      <c r="I332" s="2" t="s">
        <v>95</v>
      </c>
      <c r="J332" s="2">
        <v>750318</v>
      </c>
      <c r="K332" s="2" t="s">
        <v>76</v>
      </c>
      <c r="L332" s="2" t="s">
        <v>77</v>
      </c>
      <c r="M332" s="2" t="s">
        <v>77</v>
      </c>
      <c r="N332" s="2">
        <v>8</v>
      </c>
      <c r="O332" s="2">
        <v>2020</v>
      </c>
      <c r="P332" s="57">
        <v>44044</v>
      </c>
    </row>
    <row r="333" spans="1:16" x14ac:dyDescent="0.35">
      <c r="A333" s="2" t="s">
        <v>84</v>
      </c>
      <c r="B333" s="2">
        <v>1</v>
      </c>
      <c r="C333" s="2">
        <v>1</v>
      </c>
      <c r="D333" s="2">
        <v>1</v>
      </c>
      <c r="E333" s="2">
        <v>1</v>
      </c>
      <c r="F333" s="2">
        <v>1</v>
      </c>
      <c r="G333" s="2" t="s">
        <v>42</v>
      </c>
      <c r="H333" s="2" t="s">
        <v>74</v>
      </c>
      <c r="I333" s="2" t="s">
        <v>85</v>
      </c>
      <c r="J333" s="2">
        <v>555141</v>
      </c>
      <c r="K333" s="2" t="s">
        <v>76</v>
      </c>
      <c r="L333" s="2" t="s">
        <v>77</v>
      </c>
      <c r="M333" s="2" t="s">
        <v>77</v>
      </c>
      <c r="N333" s="2">
        <v>8</v>
      </c>
      <c r="O333" s="2">
        <v>2020</v>
      </c>
      <c r="P333" s="57">
        <v>44044</v>
      </c>
    </row>
    <row r="334" spans="1:16" x14ac:dyDescent="0.35">
      <c r="A334" s="2" t="s">
        <v>84</v>
      </c>
      <c r="B334" s="2">
        <v>1</v>
      </c>
      <c r="C334" s="2">
        <v>1</v>
      </c>
      <c r="D334" s="2">
        <v>1</v>
      </c>
      <c r="E334" s="2">
        <v>1</v>
      </c>
      <c r="F334" s="2">
        <v>1</v>
      </c>
      <c r="G334" s="2" t="s">
        <v>42</v>
      </c>
      <c r="H334" s="2" t="s">
        <v>74</v>
      </c>
      <c r="I334" s="2" t="s">
        <v>84</v>
      </c>
      <c r="J334" s="2">
        <v>750316</v>
      </c>
      <c r="K334" s="2" t="s">
        <v>76</v>
      </c>
      <c r="L334" s="2" t="s">
        <v>77</v>
      </c>
      <c r="M334" s="2" t="s">
        <v>77</v>
      </c>
      <c r="N334" s="2">
        <v>8</v>
      </c>
      <c r="O334" s="2">
        <v>2020</v>
      </c>
      <c r="P334" s="57">
        <v>44044</v>
      </c>
    </row>
    <row r="335" spans="1:16" x14ac:dyDescent="0.35">
      <c r="A335" s="2" t="s">
        <v>86</v>
      </c>
      <c r="B335" s="2">
        <v>2</v>
      </c>
      <c r="C335" s="2">
        <v>2</v>
      </c>
      <c r="D335" s="2">
        <v>3</v>
      </c>
      <c r="E335" s="2">
        <v>3</v>
      </c>
      <c r="F335" s="2">
        <v>2</v>
      </c>
      <c r="G335" s="2" t="s">
        <v>42</v>
      </c>
      <c r="H335" s="2" t="s">
        <v>87</v>
      </c>
      <c r="I335" s="2" t="s">
        <v>79</v>
      </c>
      <c r="J335" s="2">
        <v>710209</v>
      </c>
      <c r="K335" s="2" t="s">
        <v>76</v>
      </c>
      <c r="L335" s="2" t="s">
        <v>77</v>
      </c>
      <c r="M335" s="2" t="s">
        <v>77</v>
      </c>
      <c r="N335" s="2">
        <v>8</v>
      </c>
      <c r="O335" s="2">
        <v>2020</v>
      </c>
      <c r="P335" s="57">
        <v>44044</v>
      </c>
    </row>
    <row r="336" spans="1:16" x14ac:dyDescent="0.35">
      <c r="A336" s="2" t="s">
        <v>102</v>
      </c>
      <c r="B336" s="2">
        <v>1</v>
      </c>
      <c r="C336" s="2">
        <v>3</v>
      </c>
      <c r="D336" s="2">
        <v>3</v>
      </c>
      <c r="E336" s="2">
        <v>1</v>
      </c>
      <c r="F336" s="2">
        <v>1</v>
      </c>
      <c r="G336" s="2" t="s">
        <v>37</v>
      </c>
      <c r="H336" s="2" t="s">
        <v>74</v>
      </c>
      <c r="I336" s="2" t="s">
        <v>79</v>
      </c>
      <c r="J336" s="2">
        <v>710209</v>
      </c>
      <c r="K336" s="2" t="s">
        <v>76</v>
      </c>
      <c r="L336" s="2" t="s">
        <v>77</v>
      </c>
      <c r="M336" s="2" t="s">
        <v>77</v>
      </c>
      <c r="N336" s="2">
        <v>8</v>
      </c>
      <c r="O336" s="2">
        <v>2021</v>
      </c>
      <c r="P336" s="57">
        <v>44409</v>
      </c>
    </row>
    <row r="337" spans="1:16" x14ac:dyDescent="0.35">
      <c r="A337" s="2" t="s">
        <v>78</v>
      </c>
      <c r="B337" s="2">
        <v>1</v>
      </c>
      <c r="C337" s="2">
        <v>2</v>
      </c>
      <c r="D337" s="2">
        <v>2</v>
      </c>
      <c r="E337" s="2">
        <v>1</v>
      </c>
      <c r="F337" s="2">
        <v>1</v>
      </c>
      <c r="G337" s="2" t="s">
        <v>42</v>
      </c>
      <c r="H337" s="2" t="s">
        <v>74</v>
      </c>
      <c r="I337" s="2" t="s">
        <v>79</v>
      </c>
      <c r="J337" s="2">
        <v>710209</v>
      </c>
      <c r="K337" s="2" t="s">
        <v>76</v>
      </c>
      <c r="L337" s="2" t="s">
        <v>77</v>
      </c>
      <c r="M337" s="2" t="s">
        <v>77</v>
      </c>
      <c r="N337" s="2">
        <v>8</v>
      </c>
      <c r="O337" s="2">
        <v>2021</v>
      </c>
      <c r="P337" s="57">
        <v>44409</v>
      </c>
    </row>
    <row r="338" spans="1:16" x14ac:dyDescent="0.35">
      <c r="A338" s="2" t="s">
        <v>78</v>
      </c>
      <c r="B338" s="2">
        <v>1</v>
      </c>
      <c r="C338" s="2">
        <v>1</v>
      </c>
      <c r="D338" s="2">
        <v>1</v>
      </c>
      <c r="E338" s="2">
        <v>1</v>
      </c>
      <c r="F338" s="2">
        <v>1</v>
      </c>
      <c r="G338" s="2" t="s">
        <v>37</v>
      </c>
      <c r="H338" s="2" t="s">
        <v>74</v>
      </c>
      <c r="I338" s="2" t="s">
        <v>79</v>
      </c>
      <c r="J338" s="2">
        <v>710209</v>
      </c>
      <c r="K338" s="2" t="s">
        <v>76</v>
      </c>
      <c r="L338" s="2" t="s">
        <v>77</v>
      </c>
      <c r="M338" s="2" t="s">
        <v>77</v>
      </c>
      <c r="N338" s="2">
        <v>8</v>
      </c>
      <c r="O338" s="2">
        <v>2021</v>
      </c>
      <c r="P338" s="57">
        <v>44409</v>
      </c>
    </row>
    <row r="339" spans="1:16" x14ac:dyDescent="0.35">
      <c r="A339" s="2" t="s">
        <v>78</v>
      </c>
      <c r="B339" s="2">
        <v>1</v>
      </c>
      <c r="C339" s="2">
        <v>3</v>
      </c>
      <c r="D339" s="2">
        <v>3</v>
      </c>
      <c r="E339" s="2">
        <v>1</v>
      </c>
      <c r="F339" s="2">
        <v>1</v>
      </c>
      <c r="G339" s="2" t="s">
        <v>37</v>
      </c>
      <c r="H339" s="2" t="s">
        <v>74</v>
      </c>
      <c r="I339" s="2" t="s">
        <v>79</v>
      </c>
      <c r="J339" s="2">
        <v>710209</v>
      </c>
      <c r="K339" s="2" t="s">
        <v>76</v>
      </c>
      <c r="L339" s="2" t="s">
        <v>77</v>
      </c>
      <c r="M339" s="2" t="s">
        <v>77</v>
      </c>
      <c r="N339" s="2">
        <v>8</v>
      </c>
      <c r="O339" s="2">
        <v>2021</v>
      </c>
      <c r="P339" s="57">
        <v>44409</v>
      </c>
    </row>
    <row r="340" spans="1:16" x14ac:dyDescent="0.35">
      <c r="A340" s="2" t="s">
        <v>78</v>
      </c>
      <c r="B340" s="2">
        <v>1</v>
      </c>
      <c r="C340" s="2">
        <v>2</v>
      </c>
      <c r="D340" s="2">
        <v>2</v>
      </c>
      <c r="E340" s="2">
        <v>1</v>
      </c>
      <c r="F340" s="2">
        <v>1</v>
      </c>
      <c r="G340" s="2" t="s">
        <v>37</v>
      </c>
      <c r="H340" s="2" t="s">
        <v>74</v>
      </c>
      <c r="I340" s="2" t="s">
        <v>79</v>
      </c>
      <c r="J340" s="2">
        <v>710209</v>
      </c>
      <c r="K340" s="2" t="s">
        <v>76</v>
      </c>
      <c r="L340" s="2" t="s">
        <v>77</v>
      </c>
      <c r="M340" s="2" t="s">
        <v>77</v>
      </c>
      <c r="N340" s="2">
        <v>8</v>
      </c>
      <c r="O340" s="2">
        <v>2021</v>
      </c>
      <c r="P340" s="57">
        <v>44409</v>
      </c>
    </row>
    <row r="341" spans="1:16" x14ac:dyDescent="0.35">
      <c r="A341" s="2" t="s">
        <v>80</v>
      </c>
      <c r="B341" s="2">
        <v>1</v>
      </c>
      <c r="C341" s="2">
        <v>1</v>
      </c>
      <c r="D341" s="2">
        <v>1</v>
      </c>
      <c r="E341" s="2">
        <v>1</v>
      </c>
      <c r="F341" s="2">
        <v>1</v>
      </c>
      <c r="G341" s="2" t="s">
        <v>37</v>
      </c>
      <c r="H341" s="2" t="s">
        <v>74</v>
      </c>
      <c r="I341" s="2" t="s">
        <v>79</v>
      </c>
      <c r="J341" s="2">
        <v>710209</v>
      </c>
      <c r="K341" s="2" t="s">
        <v>76</v>
      </c>
      <c r="L341" s="2" t="s">
        <v>77</v>
      </c>
      <c r="M341" s="2" t="s">
        <v>77</v>
      </c>
      <c r="N341" s="2">
        <v>8</v>
      </c>
      <c r="O341" s="2">
        <v>2021</v>
      </c>
      <c r="P341" s="57">
        <v>44409</v>
      </c>
    </row>
    <row r="342" spans="1:16" x14ac:dyDescent="0.35">
      <c r="A342" s="2" t="s">
        <v>94</v>
      </c>
      <c r="B342" s="2">
        <v>1</v>
      </c>
      <c r="C342" s="2">
        <v>2</v>
      </c>
      <c r="D342" s="2">
        <v>2</v>
      </c>
      <c r="E342" s="2">
        <v>1</v>
      </c>
      <c r="F342" s="2">
        <v>1</v>
      </c>
      <c r="G342" s="2" t="s">
        <v>37</v>
      </c>
      <c r="H342" s="2" t="s">
        <v>74</v>
      </c>
      <c r="I342" s="2" t="s">
        <v>95</v>
      </c>
      <c r="J342" s="2">
        <v>750318</v>
      </c>
      <c r="K342" s="2" t="s">
        <v>76</v>
      </c>
      <c r="L342" s="2" t="s">
        <v>77</v>
      </c>
      <c r="M342" s="2" t="s">
        <v>77</v>
      </c>
      <c r="N342" s="2">
        <v>8</v>
      </c>
      <c r="O342" s="2">
        <v>2021</v>
      </c>
      <c r="P342" s="57">
        <v>44409</v>
      </c>
    </row>
    <row r="343" spans="1:16" x14ac:dyDescent="0.35">
      <c r="A343" s="2" t="s">
        <v>94</v>
      </c>
      <c r="B343" s="2">
        <v>3</v>
      </c>
      <c r="C343" s="2">
        <v>3</v>
      </c>
      <c r="D343" s="2">
        <v>3</v>
      </c>
      <c r="E343" s="2">
        <v>3</v>
      </c>
      <c r="F343" s="2">
        <v>3</v>
      </c>
      <c r="G343" s="2" t="s">
        <v>40</v>
      </c>
      <c r="H343" s="2" t="s">
        <v>74</v>
      </c>
      <c r="I343" s="2" t="s">
        <v>95</v>
      </c>
      <c r="J343" s="2">
        <v>750318</v>
      </c>
      <c r="K343" s="2" t="s">
        <v>76</v>
      </c>
      <c r="L343" s="2" t="s">
        <v>77</v>
      </c>
      <c r="M343" s="2" t="s">
        <v>77</v>
      </c>
      <c r="N343" s="2">
        <v>8</v>
      </c>
      <c r="O343" s="2">
        <v>2021</v>
      </c>
      <c r="P343" s="57">
        <v>44409</v>
      </c>
    </row>
    <row r="344" spans="1:16" x14ac:dyDescent="0.35">
      <c r="A344" s="2" t="s">
        <v>73</v>
      </c>
      <c r="B344" s="2">
        <v>1</v>
      </c>
      <c r="C344" s="2">
        <v>1</v>
      </c>
      <c r="D344" s="2">
        <v>1</v>
      </c>
      <c r="E344" s="2">
        <v>1</v>
      </c>
      <c r="F344" s="2">
        <v>1</v>
      </c>
      <c r="G344" s="2" t="s">
        <v>37</v>
      </c>
      <c r="H344" s="2" t="s">
        <v>74</v>
      </c>
      <c r="I344" s="2" t="s">
        <v>75</v>
      </c>
      <c r="J344" s="2">
        <v>498090</v>
      </c>
      <c r="K344" s="2" t="s">
        <v>76</v>
      </c>
      <c r="L344" s="2" t="s">
        <v>77</v>
      </c>
      <c r="M344" s="2" t="s">
        <v>77</v>
      </c>
      <c r="N344" s="2">
        <v>8</v>
      </c>
      <c r="O344" s="2">
        <v>2022</v>
      </c>
      <c r="P344" s="57">
        <v>44774</v>
      </c>
    </row>
    <row r="345" spans="1:16" x14ac:dyDescent="0.35">
      <c r="A345" s="2" t="s">
        <v>80</v>
      </c>
      <c r="B345" s="2">
        <v>1</v>
      </c>
      <c r="C345" s="2">
        <v>1</v>
      </c>
      <c r="D345" s="2">
        <v>1</v>
      </c>
      <c r="E345" s="2">
        <v>1</v>
      </c>
      <c r="F345" s="2">
        <v>1</v>
      </c>
      <c r="G345" s="2" t="s">
        <v>42</v>
      </c>
      <c r="H345" s="2" t="s">
        <v>74</v>
      </c>
      <c r="I345" s="2" t="s">
        <v>93</v>
      </c>
      <c r="J345" s="2">
        <v>710209</v>
      </c>
      <c r="K345" s="2" t="s">
        <v>76</v>
      </c>
      <c r="L345" s="2" t="s">
        <v>77</v>
      </c>
      <c r="M345" s="2" t="s">
        <v>77</v>
      </c>
      <c r="N345" s="2">
        <v>8</v>
      </c>
      <c r="O345" s="2">
        <v>2022</v>
      </c>
      <c r="P345" s="57">
        <v>44774</v>
      </c>
    </row>
    <row r="346" spans="1:16" x14ac:dyDescent="0.35">
      <c r="A346" s="2" t="s">
        <v>80</v>
      </c>
      <c r="B346" s="2">
        <v>2</v>
      </c>
      <c r="C346" s="2">
        <v>2</v>
      </c>
      <c r="D346" s="2">
        <v>2</v>
      </c>
      <c r="E346" s="2">
        <v>2</v>
      </c>
      <c r="F346" s="2">
        <v>2</v>
      </c>
      <c r="G346" s="2" t="s">
        <v>40</v>
      </c>
      <c r="H346" s="2" t="s">
        <v>74</v>
      </c>
      <c r="I346" s="2" t="s">
        <v>93</v>
      </c>
      <c r="J346" s="2">
        <v>710209</v>
      </c>
      <c r="K346" s="2" t="s">
        <v>76</v>
      </c>
      <c r="L346" s="2" t="s">
        <v>77</v>
      </c>
      <c r="M346" s="2" t="s">
        <v>77</v>
      </c>
      <c r="N346" s="2">
        <v>8</v>
      </c>
      <c r="O346" s="2">
        <v>2022</v>
      </c>
      <c r="P346" s="57">
        <v>44774</v>
      </c>
    </row>
    <row r="347" spans="1:16" x14ac:dyDescent="0.35">
      <c r="A347" s="2" t="s">
        <v>80</v>
      </c>
      <c r="B347" s="2">
        <v>2</v>
      </c>
      <c r="C347" s="2">
        <v>4</v>
      </c>
      <c r="D347" s="2">
        <v>4</v>
      </c>
      <c r="E347" s="2">
        <v>2</v>
      </c>
      <c r="F347" s="2">
        <v>1</v>
      </c>
      <c r="G347" s="2" t="s">
        <v>37</v>
      </c>
      <c r="H347" s="2" t="s">
        <v>74</v>
      </c>
      <c r="I347" s="2" t="s">
        <v>93</v>
      </c>
      <c r="J347" s="2">
        <v>710209</v>
      </c>
      <c r="K347" s="2" t="s">
        <v>76</v>
      </c>
      <c r="L347" s="2" t="s">
        <v>77</v>
      </c>
      <c r="M347" s="2" t="s">
        <v>77</v>
      </c>
      <c r="N347" s="2">
        <v>8</v>
      </c>
      <c r="O347" s="2">
        <v>2022</v>
      </c>
      <c r="P347" s="57">
        <v>44774</v>
      </c>
    </row>
    <row r="348" spans="1:16" x14ac:dyDescent="0.35">
      <c r="A348" s="2" t="s">
        <v>81</v>
      </c>
      <c r="B348" s="2">
        <v>1</v>
      </c>
      <c r="C348" s="2">
        <v>1</v>
      </c>
      <c r="D348" s="2">
        <v>1</v>
      </c>
      <c r="E348" s="2">
        <v>1</v>
      </c>
      <c r="F348" s="2">
        <v>1</v>
      </c>
      <c r="G348" s="2" t="s">
        <v>42</v>
      </c>
      <c r="H348" s="2" t="s">
        <v>74</v>
      </c>
      <c r="I348" s="2" t="s">
        <v>93</v>
      </c>
      <c r="J348" s="2">
        <v>710209</v>
      </c>
      <c r="K348" s="2" t="s">
        <v>76</v>
      </c>
      <c r="L348" s="2" t="s">
        <v>77</v>
      </c>
      <c r="M348" s="2" t="s">
        <v>77</v>
      </c>
      <c r="N348" s="2">
        <v>8</v>
      </c>
      <c r="O348" s="2">
        <v>2022</v>
      </c>
      <c r="P348" s="57">
        <v>44774</v>
      </c>
    </row>
    <row r="349" spans="1:16" x14ac:dyDescent="0.35">
      <c r="A349" s="2" t="s">
        <v>81</v>
      </c>
      <c r="B349" s="2">
        <v>1</v>
      </c>
      <c r="C349" s="2">
        <v>2</v>
      </c>
      <c r="D349" s="2">
        <v>2</v>
      </c>
      <c r="E349" s="2">
        <v>1</v>
      </c>
      <c r="F349" s="2">
        <v>1</v>
      </c>
      <c r="G349" s="2" t="s">
        <v>37</v>
      </c>
      <c r="H349" s="2" t="s">
        <v>74</v>
      </c>
      <c r="I349" s="2" t="s">
        <v>93</v>
      </c>
      <c r="J349" s="2">
        <v>710209</v>
      </c>
      <c r="K349" s="2" t="s">
        <v>76</v>
      </c>
      <c r="L349" s="2" t="s">
        <v>77</v>
      </c>
      <c r="M349" s="2" t="s">
        <v>77</v>
      </c>
      <c r="N349" s="2">
        <v>8</v>
      </c>
      <c r="O349" s="2">
        <v>2022</v>
      </c>
      <c r="P349" s="57">
        <v>44774</v>
      </c>
    </row>
    <row r="350" spans="1:16" x14ac:dyDescent="0.35">
      <c r="A350" s="2" t="s">
        <v>82</v>
      </c>
      <c r="B350" s="2">
        <v>1</v>
      </c>
      <c r="C350" s="2">
        <v>1</v>
      </c>
      <c r="D350" s="2">
        <v>1</v>
      </c>
      <c r="E350" s="2">
        <v>1</v>
      </c>
      <c r="F350" s="2">
        <v>1</v>
      </c>
      <c r="G350" s="2" t="s">
        <v>42</v>
      </c>
      <c r="H350" s="2" t="s">
        <v>83</v>
      </c>
      <c r="I350" s="2" t="s">
        <v>85</v>
      </c>
      <c r="J350" s="2">
        <v>555141</v>
      </c>
      <c r="K350" s="2" t="s">
        <v>76</v>
      </c>
      <c r="L350" s="2" t="s">
        <v>77</v>
      </c>
      <c r="M350" s="2" t="s">
        <v>77</v>
      </c>
      <c r="N350" s="2">
        <v>8</v>
      </c>
      <c r="O350" s="2">
        <v>2022</v>
      </c>
      <c r="P350" s="57">
        <v>44774</v>
      </c>
    </row>
    <row r="351" spans="1:16" x14ac:dyDescent="0.35">
      <c r="A351" s="2" t="s">
        <v>82</v>
      </c>
      <c r="B351" s="2">
        <v>1</v>
      </c>
      <c r="C351" s="2">
        <v>1</v>
      </c>
      <c r="D351" s="2">
        <v>1</v>
      </c>
      <c r="E351" s="2">
        <v>1</v>
      </c>
      <c r="F351" s="2">
        <v>1</v>
      </c>
      <c r="G351" s="2" t="s">
        <v>42</v>
      </c>
      <c r="H351" s="2" t="s">
        <v>83</v>
      </c>
      <c r="I351" s="2" t="s">
        <v>93</v>
      </c>
      <c r="J351" s="2">
        <v>710209</v>
      </c>
      <c r="K351" s="2" t="s">
        <v>76</v>
      </c>
      <c r="L351" s="2" t="s">
        <v>77</v>
      </c>
      <c r="M351" s="2" t="s">
        <v>77</v>
      </c>
      <c r="N351" s="2">
        <v>8</v>
      </c>
      <c r="O351" s="2">
        <v>2022</v>
      </c>
      <c r="P351" s="57">
        <v>44774</v>
      </c>
    </row>
    <row r="352" spans="1:16" x14ac:dyDescent="0.35">
      <c r="A352" s="2" t="s">
        <v>94</v>
      </c>
      <c r="B352" s="2">
        <v>1</v>
      </c>
      <c r="C352" s="2">
        <v>2</v>
      </c>
      <c r="D352" s="2">
        <v>2</v>
      </c>
      <c r="E352" s="2">
        <v>1</v>
      </c>
      <c r="F352" s="2">
        <v>1</v>
      </c>
      <c r="G352" s="2" t="s">
        <v>37</v>
      </c>
      <c r="H352" s="2" t="s">
        <v>74</v>
      </c>
      <c r="I352" s="2" t="s">
        <v>95</v>
      </c>
      <c r="J352" s="2">
        <v>750318</v>
      </c>
      <c r="K352" s="2" t="s">
        <v>76</v>
      </c>
      <c r="L352" s="2" t="s">
        <v>77</v>
      </c>
      <c r="M352" s="2" t="s">
        <v>77</v>
      </c>
      <c r="N352" s="2">
        <v>8</v>
      </c>
      <c r="O352" s="2">
        <v>2022</v>
      </c>
      <c r="P352" s="57">
        <v>44774</v>
      </c>
    </row>
    <row r="353" spans="1:16" x14ac:dyDescent="0.35">
      <c r="A353" s="2" t="s">
        <v>94</v>
      </c>
      <c r="B353" s="2">
        <v>1</v>
      </c>
      <c r="C353" s="2">
        <v>1</v>
      </c>
      <c r="D353" s="2">
        <v>1</v>
      </c>
      <c r="E353" s="2">
        <v>1</v>
      </c>
      <c r="F353" s="2">
        <v>1</v>
      </c>
      <c r="G353" s="2" t="s">
        <v>42</v>
      </c>
      <c r="H353" s="2" t="s">
        <v>74</v>
      </c>
      <c r="I353" s="2" t="s">
        <v>95</v>
      </c>
      <c r="J353" s="2">
        <v>750318</v>
      </c>
      <c r="K353" s="2" t="s">
        <v>76</v>
      </c>
      <c r="L353" s="2" t="s">
        <v>77</v>
      </c>
      <c r="M353" s="2" t="s">
        <v>77</v>
      </c>
      <c r="N353" s="2">
        <v>8</v>
      </c>
      <c r="O353" s="2">
        <v>2022</v>
      </c>
      <c r="P353" s="57">
        <v>44774</v>
      </c>
    </row>
    <row r="354" spans="1:16" x14ac:dyDescent="0.35">
      <c r="A354" s="2" t="s">
        <v>84</v>
      </c>
      <c r="B354" s="2">
        <v>1</v>
      </c>
      <c r="C354" s="2">
        <v>2</v>
      </c>
      <c r="D354" s="2">
        <v>3</v>
      </c>
      <c r="E354" s="2">
        <v>2</v>
      </c>
      <c r="F354" s="2">
        <v>1</v>
      </c>
      <c r="G354" s="2" t="s">
        <v>37</v>
      </c>
      <c r="H354" s="2" t="s">
        <v>74</v>
      </c>
      <c r="I354" s="2" t="s">
        <v>84</v>
      </c>
      <c r="J354" s="2">
        <v>750316</v>
      </c>
      <c r="K354" s="2" t="s">
        <v>76</v>
      </c>
      <c r="L354" s="2" t="s">
        <v>77</v>
      </c>
      <c r="M354" s="2" t="s">
        <v>77</v>
      </c>
      <c r="N354" s="2">
        <v>8</v>
      </c>
      <c r="O354" s="2">
        <v>2022</v>
      </c>
      <c r="P354" s="57">
        <v>44774</v>
      </c>
    </row>
    <row r="355" spans="1:16" x14ac:dyDescent="0.35">
      <c r="A355" s="2" t="s">
        <v>106</v>
      </c>
      <c r="B355" s="2">
        <v>1</v>
      </c>
      <c r="C355" s="2">
        <v>1</v>
      </c>
      <c r="D355" s="2">
        <v>1</v>
      </c>
      <c r="E355" s="2">
        <v>1</v>
      </c>
      <c r="F355" s="2">
        <v>1</v>
      </c>
      <c r="G355" s="2" t="s">
        <v>42</v>
      </c>
      <c r="H355" s="2" t="s">
        <v>107</v>
      </c>
      <c r="I355" s="2" t="s">
        <v>85</v>
      </c>
      <c r="J355" s="2">
        <v>555141</v>
      </c>
      <c r="K355" s="2" t="s">
        <v>76</v>
      </c>
      <c r="L355" s="2" t="s">
        <v>77</v>
      </c>
      <c r="M355" s="2" t="s">
        <v>77</v>
      </c>
      <c r="N355" s="2">
        <v>8</v>
      </c>
      <c r="O355" s="2">
        <v>2022</v>
      </c>
      <c r="P355" s="57">
        <v>44774</v>
      </c>
    </row>
    <row r="356" spans="1:16" x14ac:dyDescent="0.35">
      <c r="A356" s="2" t="s">
        <v>88</v>
      </c>
      <c r="B356" s="2">
        <v>1</v>
      </c>
      <c r="C356" s="2">
        <v>2</v>
      </c>
      <c r="D356" s="2">
        <v>2</v>
      </c>
      <c r="E356" s="2">
        <v>1</v>
      </c>
      <c r="F356" s="2">
        <v>1</v>
      </c>
      <c r="G356" s="2" t="s">
        <v>40</v>
      </c>
      <c r="H356" s="2" t="s">
        <v>74</v>
      </c>
      <c r="I356" s="2" t="s">
        <v>93</v>
      </c>
      <c r="J356" s="2">
        <v>710209</v>
      </c>
      <c r="K356" s="2" t="s">
        <v>76</v>
      </c>
      <c r="L356" s="2" t="s">
        <v>77</v>
      </c>
      <c r="M356" s="2" t="s">
        <v>77</v>
      </c>
      <c r="N356" s="2">
        <v>8</v>
      </c>
      <c r="O356" s="2">
        <v>2022</v>
      </c>
      <c r="P356" s="57">
        <v>44774</v>
      </c>
    </row>
    <row r="357" spans="1:16" x14ac:dyDescent="0.35">
      <c r="A357" s="2" t="s">
        <v>92</v>
      </c>
      <c r="B357" s="2">
        <v>1</v>
      </c>
      <c r="C357" s="2">
        <v>1</v>
      </c>
      <c r="D357" s="2">
        <v>1</v>
      </c>
      <c r="E357" s="2">
        <v>1</v>
      </c>
      <c r="F357" s="2">
        <v>1</v>
      </c>
      <c r="G357" s="2" t="s">
        <v>42</v>
      </c>
      <c r="H357" s="2" t="s">
        <v>74</v>
      </c>
      <c r="I357" s="2" t="s">
        <v>98</v>
      </c>
      <c r="J357" s="2">
        <v>710209</v>
      </c>
      <c r="K357" s="2" t="s">
        <v>76</v>
      </c>
      <c r="L357" s="2" t="s">
        <v>77</v>
      </c>
      <c r="M357" s="2" t="s">
        <v>77</v>
      </c>
      <c r="N357" s="2">
        <v>8</v>
      </c>
      <c r="O357" s="2">
        <v>2023</v>
      </c>
      <c r="P357" s="57">
        <v>45139</v>
      </c>
    </row>
    <row r="358" spans="1:16" x14ac:dyDescent="0.35">
      <c r="A358" s="2" t="s">
        <v>78</v>
      </c>
      <c r="B358" s="2">
        <v>1</v>
      </c>
      <c r="C358" s="2">
        <v>1</v>
      </c>
      <c r="D358" s="2">
        <v>1</v>
      </c>
      <c r="E358" s="2">
        <v>1</v>
      </c>
      <c r="F358" s="2">
        <v>1</v>
      </c>
      <c r="G358" s="2" t="s">
        <v>42</v>
      </c>
      <c r="H358" s="2" t="s">
        <v>74</v>
      </c>
      <c r="I358" s="2" t="s">
        <v>79</v>
      </c>
      <c r="J358" s="2">
        <v>710209</v>
      </c>
      <c r="K358" s="2" t="s">
        <v>76</v>
      </c>
      <c r="L358" s="2" t="s">
        <v>77</v>
      </c>
      <c r="M358" s="2" t="s">
        <v>77</v>
      </c>
      <c r="N358" s="2">
        <v>9</v>
      </c>
      <c r="O358" s="2">
        <v>2020</v>
      </c>
      <c r="P358" s="57">
        <v>44075</v>
      </c>
    </row>
    <row r="359" spans="1:16" x14ac:dyDescent="0.35">
      <c r="A359" s="2" t="s">
        <v>78</v>
      </c>
      <c r="B359" s="2">
        <v>7</v>
      </c>
      <c r="C359" s="2">
        <v>11</v>
      </c>
      <c r="D359" s="2">
        <v>12</v>
      </c>
      <c r="E359" s="2">
        <v>8</v>
      </c>
      <c r="F359" s="2">
        <v>1</v>
      </c>
      <c r="G359" s="2" t="s">
        <v>42</v>
      </c>
      <c r="H359" s="2" t="s">
        <v>74</v>
      </c>
      <c r="I359" s="2" t="s">
        <v>79</v>
      </c>
      <c r="J359" s="2">
        <v>710209</v>
      </c>
      <c r="K359" s="2" t="s">
        <v>76</v>
      </c>
      <c r="L359" s="2" t="s">
        <v>77</v>
      </c>
      <c r="M359" s="2" t="s">
        <v>77</v>
      </c>
      <c r="N359" s="2">
        <v>9</v>
      </c>
      <c r="O359" s="2">
        <v>2020</v>
      </c>
      <c r="P359" s="57">
        <v>44075</v>
      </c>
    </row>
    <row r="360" spans="1:16" x14ac:dyDescent="0.35">
      <c r="A360" s="2" t="s">
        <v>80</v>
      </c>
      <c r="B360" s="2">
        <v>1</v>
      </c>
      <c r="C360" s="2">
        <v>2</v>
      </c>
      <c r="D360" s="2">
        <v>2</v>
      </c>
      <c r="E360" s="2">
        <v>1</v>
      </c>
      <c r="F360" s="2">
        <v>1</v>
      </c>
      <c r="G360" s="2" t="s">
        <v>40</v>
      </c>
      <c r="H360" s="2" t="s">
        <v>74</v>
      </c>
      <c r="I360" s="2" t="s">
        <v>79</v>
      </c>
      <c r="J360" s="2">
        <v>710209</v>
      </c>
      <c r="K360" s="2" t="s">
        <v>76</v>
      </c>
      <c r="L360" s="2" t="s">
        <v>77</v>
      </c>
      <c r="M360" s="2" t="s">
        <v>77</v>
      </c>
      <c r="N360" s="2">
        <v>9</v>
      </c>
      <c r="O360" s="2">
        <v>2020</v>
      </c>
      <c r="P360" s="57">
        <v>44075</v>
      </c>
    </row>
    <row r="361" spans="1:16" x14ac:dyDescent="0.35">
      <c r="A361" s="2" t="s">
        <v>80</v>
      </c>
      <c r="B361" s="2">
        <v>3</v>
      </c>
      <c r="C361" s="2">
        <v>3</v>
      </c>
      <c r="D361" s="2">
        <v>3</v>
      </c>
      <c r="E361" s="2">
        <v>3</v>
      </c>
      <c r="F361" s="2">
        <v>3</v>
      </c>
      <c r="G361" s="2" t="s">
        <v>40</v>
      </c>
      <c r="H361" s="2" t="s">
        <v>74</v>
      </c>
      <c r="I361" s="2" t="s">
        <v>79</v>
      </c>
      <c r="J361" s="2">
        <v>710209</v>
      </c>
      <c r="K361" s="2" t="s">
        <v>76</v>
      </c>
      <c r="L361" s="2" t="s">
        <v>77</v>
      </c>
      <c r="M361" s="2" t="s">
        <v>77</v>
      </c>
      <c r="N361" s="2">
        <v>9</v>
      </c>
      <c r="O361" s="2">
        <v>2020</v>
      </c>
      <c r="P361" s="57">
        <v>44075</v>
      </c>
    </row>
    <row r="362" spans="1:16" x14ac:dyDescent="0.35">
      <c r="A362" s="2" t="s">
        <v>81</v>
      </c>
      <c r="B362" s="2">
        <v>1</v>
      </c>
      <c r="C362" s="2">
        <v>2</v>
      </c>
      <c r="D362" s="2">
        <v>2</v>
      </c>
      <c r="E362" s="2">
        <v>1</v>
      </c>
      <c r="F362" s="2">
        <v>1</v>
      </c>
      <c r="G362" s="2" t="s">
        <v>37</v>
      </c>
      <c r="H362" s="2" t="s">
        <v>74</v>
      </c>
      <c r="I362" s="2" t="s">
        <v>79</v>
      </c>
      <c r="J362" s="2">
        <v>710209</v>
      </c>
      <c r="K362" s="2" t="s">
        <v>76</v>
      </c>
      <c r="L362" s="2" t="s">
        <v>77</v>
      </c>
      <c r="M362" s="2" t="s">
        <v>77</v>
      </c>
      <c r="N362" s="2">
        <v>9</v>
      </c>
      <c r="O362" s="2">
        <v>2020</v>
      </c>
      <c r="P362" s="57">
        <v>44075</v>
      </c>
    </row>
    <row r="363" spans="1:16" x14ac:dyDescent="0.35">
      <c r="A363" s="2" t="s">
        <v>82</v>
      </c>
      <c r="B363" s="2">
        <v>1</v>
      </c>
      <c r="C363" s="2">
        <v>2</v>
      </c>
      <c r="D363" s="2">
        <v>2</v>
      </c>
      <c r="E363" s="2">
        <v>1</v>
      </c>
      <c r="F363" s="2">
        <v>1</v>
      </c>
      <c r="G363" s="2" t="s">
        <v>40</v>
      </c>
      <c r="H363" s="2" t="s">
        <v>83</v>
      </c>
      <c r="I363" s="2" t="s">
        <v>79</v>
      </c>
      <c r="J363" s="2">
        <v>710209</v>
      </c>
      <c r="K363" s="2" t="s">
        <v>76</v>
      </c>
      <c r="L363" s="2" t="s">
        <v>77</v>
      </c>
      <c r="M363" s="2" t="s">
        <v>77</v>
      </c>
      <c r="N363" s="2">
        <v>9</v>
      </c>
      <c r="O363" s="2">
        <v>2020</v>
      </c>
      <c r="P363" s="57">
        <v>44075</v>
      </c>
    </row>
    <row r="364" spans="1:16" x14ac:dyDescent="0.35">
      <c r="A364" s="2" t="s">
        <v>82</v>
      </c>
      <c r="B364" s="2">
        <v>10</v>
      </c>
      <c r="C364" s="2">
        <v>21</v>
      </c>
      <c r="D364" s="2">
        <v>21</v>
      </c>
      <c r="E364" s="2">
        <v>10</v>
      </c>
      <c r="F364" s="2">
        <v>2</v>
      </c>
      <c r="G364" s="2" t="s">
        <v>42</v>
      </c>
      <c r="H364" s="2" t="s">
        <v>83</v>
      </c>
      <c r="I364" s="2" t="s">
        <v>79</v>
      </c>
      <c r="J364" s="2">
        <v>710209</v>
      </c>
      <c r="K364" s="2" t="s">
        <v>76</v>
      </c>
      <c r="L364" s="2" t="s">
        <v>77</v>
      </c>
      <c r="M364" s="2" t="s">
        <v>77</v>
      </c>
      <c r="N364" s="2">
        <v>9</v>
      </c>
      <c r="O364" s="2">
        <v>2020</v>
      </c>
      <c r="P364" s="57">
        <v>44075</v>
      </c>
    </row>
    <row r="365" spans="1:16" x14ac:dyDescent="0.35">
      <c r="A365" s="2" t="s">
        <v>94</v>
      </c>
      <c r="B365" s="2">
        <v>4</v>
      </c>
      <c r="C365" s="2">
        <v>4</v>
      </c>
      <c r="D365" s="2">
        <v>4</v>
      </c>
      <c r="E365" s="2">
        <v>4</v>
      </c>
      <c r="F365" s="2">
        <v>4</v>
      </c>
      <c r="G365" s="2" t="s">
        <v>37</v>
      </c>
      <c r="H365" s="2" t="s">
        <v>74</v>
      </c>
      <c r="I365" s="2" t="s">
        <v>95</v>
      </c>
      <c r="J365" s="2">
        <v>750318</v>
      </c>
      <c r="K365" s="2" t="s">
        <v>76</v>
      </c>
      <c r="L365" s="2" t="s">
        <v>77</v>
      </c>
      <c r="M365" s="2" t="s">
        <v>77</v>
      </c>
      <c r="N365" s="2">
        <v>9</v>
      </c>
      <c r="O365" s="2">
        <v>2020</v>
      </c>
      <c r="P365" s="57">
        <v>44075</v>
      </c>
    </row>
    <row r="366" spans="1:16" x14ac:dyDescent="0.35">
      <c r="A366" s="2" t="s">
        <v>94</v>
      </c>
      <c r="B366" s="2">
        <v>2</v>
      </c>
      <c r="C366" s="2">
        <v>4</v>
      </c>
      <c r="D366" s="2">
        <v>4</v>
      </c>
      <c r="E366" s="2">
        <v>2</v>
      </c>
      <c r="F366" s="2">
        <v>2</v>
      </c>
      <c r="G366" s="2" t="s">
        <v>42</v>
      </c>
      <c r="H366" s="2" t="s">
        <v>74</v>
      </c>
      <c r="I366" s="2" t="s">
        <v>95</v>
      </c>
      <c r="J366" s="2">
        <v>750318</v>
      </c>
      <c r="K366" s="2" t="s">
        <v>76</v>
      </c>
      <c r="L366" s="2" t="s">
        <v>77</v>
      </c>
      <c r="M366" s="2" t="s">
        <v>77</v>
      </c>
      <c r="N366" s="2">
        <v>9</v>
      </c>
      <c r="O366" s="2">
        <v>2020</v>
      </c>
      <c r="P366" s="57">
        <v>44075</v>
      </c>
    </row>
    <row r="367" spans="1:16" x14ac:dyDescent="0.35">
      <c r="A367" s="2" t="s">
        <v>88</v>
      </c>
      <c r="B367" s="2">
        <v>1</v>
      </c>
      <c r="C367" s="2">
        <v>1</v>
      </c>
      <c r="D367" s="2">
        <v>1</v>
      </c>
      <c r="E367" s="2">
        <v>1</v>
      </c>
      <c r="F367" s="2">
        <v>1</v>
      </c>
      <c r="G367" s="2" t="s">
        <v>40</v>
      </c>
      <c r="H367" s="2" t="s">
        <v>74</v>
      </c>
      <c r="I367" s="2" t="s">
        <v>79</v>
      </c>
      <c r="J367" s="2">
        <v>710209</v>
      </c>
      <c r="K367" s="2" t="s">
        <v>76</v>
      </c>
      <c r="L367" s="2" t="s">
        <v>77</v>
      </c>
      <c r="M367" s="2" t="s">
        <v>77</v>
      </c>
      <c r="N367" s="2">
        <v>9</v>
      </c>
      <c r="O367" s="2">
        <v>2020</v>
      </c>
      <c r="P367" s="57">
        <v>44075</v>
      </c>
    </row>
    <row r="368" spans="1:16" x14ac:dyDescent="0.35">
      <c r="A368" s="2" t="s">
        <v>88</v>
      </c>
      <c r="B368" s="2">
        <v>1</v>
      </c>
      <c r="C368" s="2">
        <v>1</v>
      </c>
      <c r="D368" s="2">
        <v>1</v>
      </c>
      <c r="E368" s="2">
        <v>1</v>
      </c>
      <c r="F368" s="2">
        <v>1</v>
      </c>
      <c r="G368" s="2" t="s">
        <v>42</v>
      </c>
      <c r="H368" s="2" t="s">
        <v>74</v>
      </c>
      <c r="I368" s="2" t="s">
        <v>79</v>
      </c>
      <c r="J368" s="2">
        <v>710209</v>
      </c>
      <c r="K368" s="2" t="s">
        <v>76</v>
      </c>
      <c r="L368" s="2" t="s">
        <v>77</v>
      </c>
      <c r="M368" s="2" t="s">
        <v>77</v>
      </c>
      <c r="N368" s="2">
        <v>9</v>
      </c>
      <c r="O368" s="2">
        <v>2020</v>
      </c>
      <c r="P368" s="57">
        <v>44075</v>
      </c>
    </row>
    <row r="369" spans="1:16" x14ac:dyDescent="0.35">
      <c r="A369" s="2" t="s">
        <v>78</v>
      </c>
      <c r="B369" s="2">
        <v>1</v>
      </c>
      <c r="C369" s="2">
        <v>2</v>
      </c>
      <c r="D369" s="2">
        <v>2</v>
      </c>
      <c r="E369" s="2">
        <v>1</v>
      </c>
      <c r="F369" s="2">
        <v>1</v>
      </c>
      <c r="G369" s="2" t="s">
        <v>37</v>
      </c>
      <c r="H369" s="2" t="s">
        <v>74</v>
      </c>
      <c r="I369" s="2" t="s">
        <v>79</v>
      </c>
      <c r="J369" s="2">
        <v>710209</v>
      </c>
      <c r="K369" s="2" t="s">
        <v>76</v>
      </c>
      <c r="L369" s="2" t="s">
        <v>77</v>
      </c>
      <c r="M369" s="2" t="s">
        <v>77</v>
      </c>
      <c r="N369" s="2">
        <v>9</v>
      </c>
      <c r="O369" s="2">
        <v>2021</v>
      </c>
      <c r="P369" s="57">
        <v>44440</v>
      </c>
    </row>
    <row r="370" spans="1:16" x14ac:dyDescent="0.35">
      <c r="A370" s="2" t="s">
        <v>80</v>
      </c>
      <c r="B370" s="2">
        <v>1</v>
      </c>
      <c r="C370" s="2">
        <v>1</v>
      </c>
      <c r="D370" s="2">
        <v>1</v>
      </c>
      <c r="E370" s="2">
        <v>1</v>
      </c>
      <c r="F370" s="2">
        <v>1</v>
      </c>
      <c r="G370" s="2" t="s">
        <v>42</v>
      </c>
      <c r="H370" s="2" t="s">
        <v>74</v>
      </c>
      <c r="I370" s="2" t="s">
        <v>79</v>
      </c>
      <c r="J370" s="2">
        <v>710209</v>
      </c>
      <c r="K370" s="2" t="s">
        <v>76</v>
      </c>
      <c r="L370" s="2" t="s">
        <v>77</v>
      </c>
      <c r="M370" s="2" t="s">
        <v>77</v>
      </c>
      <c r="N370" s="2">
        <v>9</v>
      </c>
      <c r="O370" s="2">
        <v>2021</v>
      </c>
      <c r="P370" s="57">
        <v>44440</v>
      </c>
    </row>
    <row r="371" spans="1:16" x14ac:dyDescent="0.35">
      <c r="A371" s="2" t="s">
        <v>81</v>
      </c>
      <c r="B371" s="2">
        <v>1</v>
      </c>
      <c r="C371" s="2">
        <v>3</v>
      </c>
      <c r="D371" s="2">
        <v>4</v>
      </c>
      <c r="E371" s="2">
        <v>2</v>
      </c>
      <c r="F371" s="2">
        <v>1</v>
      </c>
      <c r="G371" s="2" t="s">
        <v>37</v>
      </c>
      <c r="H371" s="2" t="s">
        <v>74</v>
      </c>
      <c r="I371" s="2" t="s">
        <v>79</v>
      </c>
      <c r="J371" s="2">
        <v>710209</v>
      </c>
      <c r="K371" s="2" t="s">
        <v>76</v>
      </c>
      <c r="L371" s="2" t="s">
        <v>77</v>
      </c>
      <c r="M371" s="2" t="s">
        <v>77</v>
      </c>
      <c r="N371" s="2">
        <v>9</v>
      </c>
      <c r="O371" s="2">
        <v>2021</v>
      </c>
      <c r="P371" s="57">
        <v>44440</v>
      </c>
    </row>
    <row r="372" spans="1:16" x14ac:dyDescent="0.35">
      <c r="A372" s="2" t="s">
        <v>82</v>
      </c>
      <c r="B372" s="2">
        <v>1</v>
      </c>
      <c r="C372" s="2">
        <v>1</v>
      </c>
      <c r="D372" s="2">
        <v>1</v>
      </c>
      <c r="E372" s="2">
        <v>1</v>
      </c>
      <c r="F372" s="2">
        <v>1</v>
      </c>
      <c r="G372" s="2" t="s">
        <v>37</v>
      </c>
      <c r="H372" s="2" t="s">
        <v>83</v>
      </c>
      <c r="I372" s="2" t="s">
        <v>79</v>
      </c>
      <c r="J372" s="2">
        <v>710209</v>
      </c>
      <c r="K372" s="2" t="s">
        <v>76</v>
      </c>
      <c r="L372" s="2" t="s">
        <v>77</v>
      </c>
      <c r="M372" s="2" t="s">
        <v>77</v>
      </c>
      <c r="N372" s="2">
        <v>9</v>
      </c>
      <c r="O372" s="2">
        <v>2021</v>
      </c>
      <c r="P372" s="57">
        <v>44440</v>
      </c>
    </row>
    <row r="373" spans="1:16" x14ac:dyDescent="0.35">
      <c r="A373" s="2" t="s">
        <v>82</v>
      </c>
      <c r="B373" s="2">
        <v>3</v>
      </c>
      <c r="C373" s="2">
        <v>3</v>
      </c>
      <c r="D373" s="2">
        <v>3</v>
      </c>
      <c r="E373" s="2">
        <v>3</v>
      </c>
      <c r="F373" s="2">
        <v>3</v>
      </c>
      <c r="G373" s="2" t="s">
        <v>40</v>
      </c>
      <c r="H373" s="2" t="s">
        <v>83</v>
      </c>
      <c r="I373" s="2" t="s">
        <v>79</v>
      </c>
      <c r="J373" s="2">
        <v>710209</v>
      </c>
      <c r="K373" s="2" t="s">
        <v>76</v>
      </c>
      <c r="L373" s="2" t="s">
        <v>77</v>
      </c>
      <c r="M373" s="2" t="s">
        <v>77</v>
      </c>
      <c r="N373" s="2">
        <v>9</v>
      </c>
      <c r="O373" s="2">
        <v>2021</v>
      </c>
      <c r="P373" s="57">
        <v>44440</v>
      </c>
    </row>
    <row r="374" spans="1:16" x14ac:dyDescent="0.35">
      <c r="A374" s="2" t="s">
        <v>82</v>
      </c>
      <c r="B374" s="2">
        <v>5</v>
      </c>
      <c r="C374" s="2">
        <v>10</v>
      </c>
      <c r="D374" s="2">
        <v>10</v>
      </c>
      <c r="E374" s="2">
        <v>5</v>
      </c>
      <c r="F374" s="2">
        <v>3</v>
      </c>
      <c r="G374" s="2" t="s">
        <v>42</v>
      </c>
      <c r="H374" s="2" t="s">
        <v>83</v>
      </c>
      <c r="I374" s="2" t="s">
        <v>79</v>
      </c>
      <c r="J374" s="2">
        <v>710209</v>
      </c>
      <c r="K374" s="2" t="s">
        <v>76</v>
      </c>
      <c r="L374" s="2" t="s">
        <v>77</v>
      </c>
      <c r="M374" s="2" t="s">
        <v>77</v>
      </c>
      <c r="N374" s="2">
        <v>9</v>
      </c>
      <c r="O374" s="2">
        <v>2021</v>
      </c>
      <c r="P374" s="57">
        <v>44440</v>
      </c>
    </row>
    <row r="375" spans="1:16" x14ac:dyDescent="0.35">
      <c r="A375" s="2" t="s">
        <v>94</v>
      </c>
      <c r="B375" s="2">
        <v>3</v>
      </c>
      <c r="C375" s="2">
        <v>3</v>
      </c>
      <c r="D375" s="2">
        <v>3</v>
      </c>
      <c r="E375" s="2">
        <v>3</v>
      </c>
      <c r="F375" s="2">
        <v>3</v>
      </c>
      <c r="G375" s="2" t="s">
        <v>40</v>
      </c>
      <c r="H375" s="2" t="s">
        <v>74</v>
      </c>
      <c r="I375" s="2" t="s">
        <v>95</v>
      </c>
      <c r="J375" s="2">
        <v>750318</v>
      </c>
      <c r="K375" s="2" t="s">
        <v>76</v>
      </c>
      <c r="L375" s="2" t="s">
        <v>77</v>
      </c>
      <c r="M375" s="2" t="s">
        <v>77</v>
      </c>
      <c r="N375" s="2">
        <v>9</v>
      </c>
      <c r="O375" s="2">
        <v>2021</v>
      </c>
      <c r="P375" s="57">
        <v>44440</v>
      </c>
    </row>
    <row r="376" spans="1:16" x14ac:dyDescent="0.35">
      <c r="A376" s="2" t="s">
        <v>94</v>
      </c>
      <c r="B376" s="2">
        <v>1</v>
      </c>
      <c r="C376" s="2">
        <v>3</v>
      </c>
      <c r="D376" s="2">
        <v>3</v>
      </c>
      <c r="E376" s="2">
        <v>1</v>
      </c>
      <c r="F376" s="2">
        <v>1</v>
      </c>
      <c r="G376" s="2" t="s">
        <v>37</v>
      </c>
      <c r="H376" s="2" t="s">
        <v>74</v>
      </c>
      <c r="I376" s="2" t="s">
        <v>95</v>
      </c>
      <c r="J376" s="2">
        <v>750318</v>
      </c>
      <c r="K376" s="2" t="s">
        <v>76</v>
      </c>
      <c r="L376" s="2" t="s">
        <v>77</v>
      </c>
      <c r="M376" s="2" t="s">
        <v>77</v>
      </c>
      <c r="N376" s="2">
        <v>9</v>
      </c>
      <c r="O376" s="2">
        <v>2021</v>
      </c>
      <c r="P376" s="57">
        <v>44440</v>
      </c>
    </row>
    <row r="377" spans="1:16" x14ac:dyDescent="0.35">
      <c r="A377" s="2" t="s">
        <v>94</v>
      </c>
      <c r="B377" s="2">
        <v>1</v>
      </c>
      <c r="C377" s="2">
        <v>1</v>
      </c>
      <c r="D377" s="2">
        <v>1</v>
      </c>
      <c r="E377" s="2">
        <v>1</v>
      </c>
      <c r="F377" s="2">
        <v>1</v>
      </c>
      <c r="G377" s="2" t="s">
        <v>40</v>
      </c>
      <c r="H377" s="2" t="s">
        <v>74</v>
      </c>
      <c r="I377" s="2" t="s">
        <v>95</v>
      </c>
      <c r="J377" s="2">
        <v>750318</v>
      </c>
      <c r="K377" s="2" t="s">
        <v>76</v>
      </c>
      <c r="L377" s="2" t="s">
        <v>77</v>
      </c>
      <c r="M377" s="2" t="s">
        <v>77</v>
      </c>
      <c r="N377" s="2">
        <v>9</v>
      </c>
      <c r="O377" s="2">
        <v>2021</v>
      </c>
      <c r="P377" s="57">
        <v>44440</v>
      </c>
    </row>
    <row r="378" spans="1:16" x14ac:dyDescent="0.35">
      <c r="A378" s="2" t="s">
        <v>118</v>
      </c>
      <c r="B378" s="2">
        <v>1</v>
      </c>
      <c r="C378" s="2">
        <v>2</v>
      </c>
      <c r="D378" s="2">
        <v>2</v>
      </c>
      <c r="E378" s="2">
        <v>1</v>
      </c>
      <c r="F378" s="2">
        <v>1</v>
      </c>
      <c r="G378" s="2" t="s">
        <v>37</v>
      </c>
      <c r="H378" s="2" t="s">
        <v>87</v>
      </c>
      <c r="I378" s="2" t="s">
        <v>79</v>
      </c>
      <c r="J378" s="2">
        <v>710209</v>
      </c>
      <c r="K378" s="2" t="s">
        <v>76</v>
      </c>
      <c r="L378" s="2" t="s">
        <v>77</v>
      </c>
      <c r="M378" s="2" t="s">
        <v>77</v>
      </c>
      <c r="N378" s="2">
        <v>9</v>
      </c>
      <c r="O378" s="2">
        <v>2021</v>
      </c>
      <c r="P378" s="57">
        <v>44440</v>
      </c>
    </row>
    <row r="379" spans="1:16" x14ac:dyDescent="0.35">
      <c r="A379" s="2" t="s">
        <v>118</v>
      </c>
      <c r="B379" s="2">
        <v>1</v>
      </c>
      <c r="C379" s="2">
        <v>1</v>
      </c>
      <c r="D379" s="2">
        <v>1</v>
      </c>
      <c r="E379" s="2">
        <v>1</v>
      </c>
      <c r="F379" s="2">
        <v>1</v>
      </c>
      <c r="G379" s="2" t="s">
        <v>37</v>
      </c>
      <c r="H379" s="2" t="s">
        <v>87</v>
      </c>
      <c r="I379" s="2" t="s">
        <v>79</v>
      </c>
      <c r="J379" s="2">
        <v>710209</v>
      </c>
      <c r="K379" s="2" t="s">
        <v>76</v>
      </c>
      <c r="L379" s="2" t="s">
        <v>77</v>
      </c>
      <c r="M379" s="2" t="s">
        <v>77</v>
      </c>
      <c r="N379" s="2">
        <v>9</v>
      </c>
      <c r="O379" s="2">
        <v>2021</v>
      </c>
      <c r="P379" s="57">
        <v>44440</v>
      </c>
    </row>
    <row r="380" spans="1:16" x14ac:dyDescent="0.35">
      <c r="A380" s="2" t="s">
        <v>86</v>
      </c>
      <c r="B380" s="2">
        <v>3</v>
      </c>
      <c r="C380" s="2">
        <v>4</v>
      </c>
      <c r="D380" s="2">
        <v>5</v>
      </c>
      <c r="E380" s="2">
        <v>4</v>
      </c>
      <c r="F380" s="2">
        <v>3</v>
      </c>
      <c r="G380" s="2" t="s">
        <v>37</v>
      </c>
      <c r="H380" s="2" t="s">
        <v>87</v>
      </c>
      <c r="I380" s="2" t="s">
        <v>79</v>
      </c>
      <c r="J380" s="2">
        <v>710209</v>
      </c>
      <c r="K380" s="2" t="s">
        <v>76</v>
      </c>
      <c r="L380" s="2" t="s">
        <v>77</v>
      </c>
      <c r="M380" s="2" t="s">
        <v>77</v>
      </c>
      <c r="N380" s="2">
        <v>9</v>
      </c>
      <c r="O380" s="2">
        <v>2021</v>
      </c>
      <c r="P380" s="57">
        <v>44440</v>
      </c>
    </row>
    <row r="381" spans="1:16" x14ac:dyDescent="0.35">
      <c r="A381" s="2" t="s">
        <v>119</v>
      </c>
      <c r="B381" s="2">
        <v>1</v>
      </c>
      <c r="C381" s="2">
        <v>3</v>
      </c>
      <c r="D381" s="2">
        <v>3</v>
      </c>
      <c r="E381" s="2">
        <v>1</v>
      </c>
      <c r="F381" s="2">
        <v>1</v>
      </c>
      <c r="G381" s="2" t="s">
        <v>37</v>
      </c>
      <c r="H381" s="2" t="s">
        <v>87</v>
      </c>
      <c r="I381" s="2" t="s">
        <v>79</v>
      </c>
      <c r="J381" s="2">
        <v>710209</v>
      </c>
      <c r="K381" s="2" t="s">
        <v>76</v>
      </c>
      <c r="L381" s="2" t="s">
        <v>77</v>
      </c>
      <c r="M381" s="2" t="s">
        <v>77</v>
      </c>
      <c r="N381" s="2">
        <v>9</v>
      </c>
      <c r="O381" s="2">
        <v>2021</v>
      </c>
      <c r="P381" s="57">
        <v>44440</v>
      </c>
    </row>
    <row r="382" spans="1:16" x14ac:dyDescent="0.35">
      <c r="A382" s="2" t="s">
        <v>120</v>
      </c>
      <c r="B382" s="2">
        <v>1</v>
      </c>
      <c r="C382" s="2">
        <v>3</v>
      </c>
      <c r="D382" s="2">
        <v>3</v>
      </c>
      <c r="E382" s="2">
        <v>1</v>
      </c>
      <c r="F382" s="2">
        <v>1</v>
      </c>
      <c r="G382" s="2" t="s">
        <v>37</v>
      </c>
      <c r="H382" s="2" t="s">
        <v>109</v>
      </c>
      <c r="I382" s="2" t="s">
        <v>85</v>
      </c>
      <c r="J382" s="2">
        <v>555141</v>
      </c>
      <c r="K382" s="2" t="s">
        <v>76</v>
      </c>
      <c r="L382" s="2" t="s">
        <v>77</v>
      </c>
      <c r="M382" s="2" t="s">
        <v>77</v>
      </c>
      <c r="N382" s="2">
        <v>9</v>
      </c>
      <c r="O382" s="2">
        <v>2022</v>
      </c>
      <c r="P382" s="57">
        <v>44805</v>
      </c>
    </row>
    <row r="383" spans="1:16" x14ac:dyDescent="0.35">
      <c r="A383" s="2" t="s">
        <v>120</v>
      </c>
      <c r="B383" s="2">
        <v>3</v>
      </c>
      <c r="C383" s="2">
        <v>3</v>
      </c>
      <c r="D383" s="2">
        <v>3</v>
      </c>
      <c r="E383" s="2">
        <v>3</v>
      </c>
      <c r="F383" s="2">
        <v>3</v>
      </c>
      <c r="G383" s="2" t="s">
        <v>42</v>
      </c>
      <c r="H383" s="2" t="s">
        <v>109</v>
      </c>
      <c r="I383" s="2" t="s">
        <v>85</v>
      </c>
      <c r="J383" s="2">
        <v>555141</v>
      </c>
      <c r="K383" s="2" t="s">
        <v>76</v>
      </c>
      <c r="L383" s="2" t="s">
        <v>77</v>
      </c>
      <c r="M383" s="2" t="s">
        <v>77</v>
      </c>
      <c r="N383" s="2">
        <v>9</v>
      </c>
      <c r="O383" s="2">
        <v>2022</v>
      </c>
      <c r="P383" s="57">
        <v>44805</v>
      </c>
    </row>
    <row r="384" spans="1:16" x14ac:dyDescent="0.35">
      <c r="A384" s="2" t="s">
        <v>78</v>
      </c>
      <c r="B384" s="2">
        <v>4</v>
      </c>
      <c r="C384" s="2">
        <v>4</v>
      </c>
      <c r="D384" s="2">
        <v>4</v>
      </c>
      <c r="E384" s="2">
        <v>4</v>
      </c>
      <c r="F384" s="2">
        <v>2</v>
      </c>
      <c r="G384" s="2" t="s">
        <v>42</v>
      </c>
      <c r="H384" s="2" t="s">
        <v>74</v>
      </c>
      <c r="I384" s="2" t="s">
        <v>93</v>
      </c>
      <c r="J384" s="2">
        <v>710209</v>
      </c>
      <c r="K384" s="2" t="s">
        <v>76</v>
      </c>
      <c r="L384" s="2" t="s">
        <v>77</v>
      </c>
      <c r="M384" s="2" t="s">
        <v>77</v>
      </c>
      <c r="N384" s="2">
        <v>9</v>
      </c>
      <c r="O384" s="2">
        <v>2022</v>
      </c>
      <c r="P384" s="57">
        <v>44805</v>
      </c>
    </row>
    <row r="385" spans="1:16" x14ac:dyDescent="0.35">
      <c r="A385" s="2" t="s">
        <v>78</v>
      </c>
      <c r="B385" s="2">
        <v>5</v>
      </c>
      <c r="C385" s="2">
        <v>13</v>
      </c>
      <c r="D385" s="2">
        <v>14</v>
      </c>
      <c r="E385" s="2">
        <v>6</v>
      </c>
      <c r="F385" s="2">
        <v>2</v>
      </c>
      <c r="G385" s="2" t="s">
        <v>37</v>
      </c>
      <c r="H385" s="2" t="s">
        <v>74</v>
      </c>
      <c r="I385" s="2" t="s">
        <v>93</v>
      </c>
      <c r="J385" s="2">
        <v>710209</v>
      </c>
      <c r="K385" s="2" t="s">
        <v>76</v>
      </c>
      <c r="L385" s="2" t="s">
        <v>77</v>
      </c>
      <c r="M385" s="2" t="s">
        <v>77</v>
      </c>
      <c r="N385" s="2">
        <v>9</v>
      </c>
      <c r="O385" s="2">
        <v>2022</v>
      </c>
      <c r="P385" s="57">
        <v>44805</v>
      </c>
    </row>
    <row r="386" spans="1:16" x14ac:dyDescent="0.35">
      <c r="A386" s="2" t="s">
        <v>78</v>
      </c>
      <c r="B386" s="2">
        <v>1</v>
      </c>
      <c r="C386" s="2">
        <v>1</v>
      </c>
      <c r="D386" s="2">
        <v>1</v>
      </c>
      <c r="E386" s="2">
        <v>1</v>
      </c>
      <c r="F386" s="2">
        <v>1</v>
      </c>
      <c r="G386" s="2" t="s">
        <v>42</v>
      </c>
      <c r="H386" s="2" t="s">
        <v>74</v>
      </c>
      <c r="I386" s="2" t="s">
        <v>93</v>
      </c>
      <c r="J386" s="2">
        <v>710209</v>
      </c>
      <c r="K386" s="2" t="s">
        <v>76</v>
      </c>
      <c r="L386" s="2" t="s">
        <v>77</v>
      </c>
      <c r="M386" s="2" t="s">
        <v>77</v>
      </c>
      <c r="N386" s="2">
        <v>9</v>
      </c>
      <c r="O386" s="2">
        <v>2022</v>
      </c>
      <c r="P386" s="57">
        <v>44805</v>
      </c>
    </row>
    <row r="387" spans="1:16" x14ac:dyDescent="0.35">
      <c r="A387" s="2" t="s">
        <v>81</v>
      </c>
      <c r="B387" s="2">
        <v>2</v>
      </c>
      <c r="C387" s="2">
        <v>3</v>
      </c>
      <c r="D387" s="2">
        <v>3</v>
      </c>
      <c r="E387" s="2">
        <v>2</v>
      </c>
      <c r="F387" s="2">
        <v>2</v>
      </c>
      <c r="G387" s="2" t="s">
        <v>37</v>
      </c>
      <c r="H387" s="2" t="s">
        <v>74</v>
      </c>
      <c r="I387" s="2" t="s">
        <v>93</v>
      </c>
      <c r="J387" s="2">
        <v>710209</v>
      </c>
      <c r="K387" s="2" t="s">
        <v>76</v>
      </c>
      <c r="L387" s="2" t="s">
        <v>77</v>
      </c>
      <c r="M387" s="2" t="s">
        <v>77</v>
      </c>
      <c r="N387" s="2">
        <v>9</v>
      </c>
      <c r="O387" s="2">
        <v>2022</v>
      </c>
      <c r="P387" s="57">
        <v>44805</v>
      </c>
    </row>
    <row r="388" spans="1:16" x14ac:dyDescent="0.35">
      <c r="A388" s="2" t="s">
        <v>81</v>
      </c>
      <c r="B388" s="2">
        <v>4</v>
      </c>
      <c r="C388" s="2">
        <v>4</v>
      </c>
      <c r="D388" s="2">
        <v>4</v>
      </c>
      <c r="E388" s="2">
        <v>4</v>
      </c>
      <c r="F388" s="2">
        <v>4</v>
      </c>
      <c r="G388" s="2" t="s">
        <v>42</v>
      </c>
      <c r="H388" s="2" t="s">
        <v>74</v>
      </c>
      <c r="I388" s="2" t="s">
        <v>93</v>
      </c>
      <c r="J388" s="2">
        <v>710209</v>
      </c>
      <c r="K388" s="2" t="s">
        <v>76</v>
      </c>
      <c r="L388" s="2" t="s">
        <v>77</v>
      </c>
      <c r="M388" s="2" t="s">
        <v>77</v>
      </c>
      <c r="N388" s="2">
        <v>9</v>
      </c>
      <c r="O388" s="2">
        <v>2022</v>
      </c>
      <c r="P388" s="57">
        <v>44805</v>
      </c>
    </row>
    <row r="389" spans="1:16" x14ac:dyDescent="0.35">
      <c r="A389" s="2" t="s">
        <v>82</v>
      </c>
      <c r="B389" s="2">
        <v>3</v>
      </c>
      <c r="C389" s="2">
        <v>3</v>
      </c>
      <c r="D389" s="2">
        <v>3</v>
      </c>
      <c r="E389" s="2">
        <v>3</v>
      </c>
      <c r="F389" s="2">
        <v>3</v>
      </c>
      <c r="G389" s="2" t="s">
        <v>40</v>
      </c>
      <c r="H389" s="2" t="s">
        <v>83</v>
      </c>
      <c r="I389" s="2" t="s">
        <v>93</v>
      </c>
      <c r="J389" s="2">
        <v>710209</v>
      </c>
      <c r="K389" s="2" t="s">
        <v>76</v>
      </c>
      <c r="L389" s="2" t="s">
        <v>77</v>
      </c>
      <c r="M389" s="2" t="s">
        <v>77</v>
      </c>
      <c r="N389" s="2">
        <v>9</v>
      </c>
      <c r="O389" s="2">
        <v>2022</v>
      </c>
      <c r="P389" s="57">
        <v>44805</v>
      </c>
    </row>
    <row r="390" spans="1:16" x14ac:dyDescent="0.35">
      <c r="A390" s="2" t="s">
        <v>82</v>
      </c>
      <c r="B390" s="2">
        <v>1</v>
      </c>
      <c r="C390" s="2">
        <v>1</v>
      </c>
      <c r="D390" s="2">
        <v>1</v>
      </c>
      <c r="E390" s="2">
        <v>1</v>
      </c>
      <c r="F390" s="2">
        <v>1</v>
      </c>
      <c r="G390" s="2" t="s">
        <v>37</v>
      </c>
      <c r="H390" s="2" t="s">
        <v>83</v>
      </c>
      <c r="I390" s="2" t="s">
        <v>93</v>
      </c>
      <c r="J390" s="2">
        <v>710209</v>
      </c>
      <c r="K390" s="2" t="s">
        <v>76</v>
      </c>
      <c r="L390" s="2" t="s">
        <v>77</v>
      </c>
      <c r="M390" s="2" t="s">
        <v>77</v>
      </c>
      <c r="N390" s="2">
        <v>9</v>
      </c>
      <c r="O390" s="2">
        <v>2022</v>
      </c>
      <c r="P390" s="57">
        <v>44805</v>
      </c>
    </row>
    <row r="391" spans="1:16" x14ac:dyDescent="0.35">
      <c r="A391" s="2" t="s">
        <v>94</v>
      </c>
      <c r="B391" s="2">
        <v>1</v>
      </c>
      <c r="C391" s="2">
        <v>1</v>
      </c>
      <c r="D391" s="2">
        <v>1</v>
      </c>
      <c r="E391" s="2">
        <v>1</v>
      </c>
      <c r="F391" s="2">
        <v>1</v>
      </c>
      <c r="G391" s="2" t="s">
        <v>40</v>
      </c>
      <c r="H391" s="2" t="s">
        <v>74</v>
      </c>
      <c r="I391" s="2" t="s">
        <v>95</v>
      </c>
      <c r="J391" s="2">
        <v>750318</v>
      </c>
      <c r="K391" s="2" t="s">
        <v>76</v>
      </c>
      <c r="L391" s="2" t="s">
        <v>77</v>
      </c>
      <c r="M391" s="2" t="s">
        <v>77</v>
      </c>
      <c r="N391" s="2">
        <v>9</v>
      </c>
      <c r="O391" s="2">
        <v>2022</v>
      </c>
      <c r="P391" s="57">
        <v>44805</v>
      </c>
    </row>
    <row r="392" spans="1:16" x14ac:dyDescent="0.35">
      <c r="A392" s="2" t="s">
        <v>86</v>
      </c>
      <c r="B392" s="2">
        <v>1</v>
      </c>
      <c r="C392" s="2">
        <v>2</v>
      </c>
      <c r="D392" s="2">
        <v>4</v>
      </c>
      <c r="E392" s="2">
        <v>2</v>
      </c>
      <c r="F392" s="2">
        <v>1</v>
      </c>
      <c r="G392" s="2" t="s">
        <v>37</v>
      </c>
      <c r="H392" s="2" t="s">
        <v>87</v>
      </c>
      <c r="I392" s="2" t="s">
        <v>93</v>
      </c>
      <c r="J392" s="2">
        <v>710209</v>
      </c>
      <c r="K392" s="2" t="s">
        <v>76</v>
      </c>
      <c r="L392" s="2" t="s">
        <v>77</v>
      </c>
      <c r="M392" s="2" t="s">
        <v>77</v>
      </c>
      <c r="N392" s="2">
        <v>9</v>
      </c>
      <c r="O392" s="2">
        <v>2022</v>
      </c>
      <c r="P392" s="57">
        <v>44805</v>
      </c>
    </row>
    <row r="393" spans="1:16" x14ac:dyDescent="0.35">
      <c r="A393" s="2" t="s">
        <v>86</v>
      </c>
      <c r="B393" s="2">
        <v>1</v>
      </c>
      <c r="C393" s="2">
        <v>1</v>
      </c>
      <c r="D393" s="2">
        <v>1</v>
      </c>
      <c r="E393" s="2">
        <v>1</v>
      </c>
      <c r="F393" s="2">
        <v>1</v>
      </c>
      <c r="G393" s="2" t="s">
        <v>42</v>
      </c>
      <c r="H393" s="2" t="s">
        <v>87</v>
      </c>
      <c r="I393" s="2" t="s">
        <v>93</v>
      </c>
      <c r="J393" s="2">
        <v>710209</v>
      </c>
      <c r="K393" s="2" t="s">
        <v>76</v>
      </c>
      <c r="L393" s="2" t="s">
        <v>77</v>
      </c>
      <c r="M393" s="2" t="s">
        <v>77</v>
      </c>
      <c r="N393" s="2">
        <v>9</v>
      </c>
      <c r="O393" s="2">
        <v>2022</v>
      </c>
      <c r="P393" s="57">
        <v>44805</v>
      </c>
    </row>
    <row r="394" spans="1:16" x14ac:dyDescent="0.35">
      <c r="A394" t="s">
        <v>88</v>
      </c>
      <c r="B394">
        <v>1</v>
      </c>
      <c r="C394">
        <v>1</v>
      </c>
      <c r="D394">
        <v>1</v>
      </c>
      <c r="E394">
        <v>1</v>
      </c>
      <c r="F394">
        <v>1</v>
      </c>
      <c r="G394" t="s">
        <v>37</v>
      </c>
      <c r="H394" t="s">
        <v>74</v>
      </c>
      <c r="I394" t="s">
        <v>93</v>
      </c>
      <c r="J394">
        <v>710209</v>
      </c>
      <c r="K394" t="s">
        <v>76</v>
      </c>
      <c r="L394" t="s">
        <v>77</v>
      </c>
      <c r="M394" t="s">
        <v>77</v>
      </c>
      <c r="N394">
        <v>9</v>
      </c>
      <c r="O394">
        <v>2022</v>
      </c>
      <c r="P394" s="57">
        <v>44805</v>
      </c>
    </row>
    <row r="395" spans="1:16" x14ac:dyDescent="0.35">
      <c r="A395" t="s">
        <v>88</v>
      </c>
      <c r="B395">
        <v>2</v>
      </c>
      <c r="C395">
        <v>2</v>
      </c>
      <c r="D395">
        <v>2</v>
      </c>
      <c r="E395">
        <v>2</v>
      </c>
      <c r="F395">
        <v>2</v>
      </c>
      <c r="G395" t="s">
        <v>42</v>
      </c>
      <c r="H395" t="s">
        <v>74</v>
      </c>
      <c r="I395" t="s">
        <v>93</v>
      </c>
      <c r="J395">
        <v>710209</v>
      </c>
      <c r="K395" t="s">
        <v>76</v>
      </c>
      <c r="L395" t="s">
        <v>77</v>
      </c>
      <c r="M395" t="s">
        <v>77</v>
      </c>
      <c r="N395">
        <v>9</v>
      </c>
      <c r="O395">
        <v>2022</v>
      </c>
      <c r="P395" s="57">
        <v>44805</v>
      </c>
    </row>
    <row r="396" spans="1:16" x14ac:dyDescent="0.35">
      <c r="A396" t="s">
        <v>121</v>
      </c>
      <c r="B396">
        <v>1</v>
      </c>
      <c r="C396">
        <v>1</v>
      </c>
      <c r="D396">
        <v>1</v>
      </c>
      <c r="E396">
        <v>1</v>
      </c>
      <c r="F396">
        <v>1</v>
      </c>
      <c r="G396" t="s">
        <v>40</v>
      </c>
      <c r="H396" t="s">
        <v>74</v>
      </c>
      <c r="I396" t="s">
        <v>85</v>
      </c>
      <c r="J396">
        <v>555141</v>
      </c>
      <c r="K396" t="s">
        <v>76</v>
      </c>
      <c r="L396" t="s">
        <v>77</v>
      </c>
      <c r="M396" t="s">
        <v>77</v>
      </c>
      <c r="N396">
        <v>9</v>
      </c>
      <c r="O396">
        <v>2022</v>
      </c>
      <c r="P396" s="57">
        <v>44805</v>
      </c>
    </row>
    <row r="397" spans="1:16" x14ac:dyDescent="0.35">
      <c r="A397" t="s">
        <v>78</v>
      </c>
      <c r="B397">
        <v>6</v>
      </c>
      <c r="C397">
        <v>11</v>
      </c>
      <c r="D397">
        <v>14</v>
      </c>
      <c r="E397">
        <v>8</v>
      </c>
      <c r="F397">
        <v>5</v>
      </c>
      <c r="G397" t="s">
        <v>42</v>
      </c>
      <c r="H397" t="s">
        <v>74</v>
      </c>
      <c r="I397" t="s">
        <v>98</v>
      </c>
      <c r="J397">
        <v>710209</v>
      </c>
      <c r="K397" t="s">
        <v>76</v>
      </c>
      <c r="L397" t="s">
        <v>77</v>
      </c>
      <c r="M397" t="s">
        <v>77</v>
      </c>
      <c r="N397">
        <v>9</v>
      </c>
      <c r="O397">
        <v>2023</v>
      </c>
      <c r="P397" s="57">
        <v>45170</v>
      </c>
    </row>
    <row r="398" spans="1:16" x14ac:dyDescent="0.35">
      <c r="A398" t="s">
        <v>80</v>
      </c>
      <c r="B398">
        <v>1</v>
      </c>
      <c r="C398">
        <v>4</v>
      </c>
      <c r="D398">
        <v>5</v>
      </c>
      <c r="E398">
        <v>2</v>
      </c>
      <c r="F398">
        <v>1</v>
      </c>
      <c r="G398" t="s">
        <v>37</v>
      </c>
      <c r="H398" t="s">
        <v>74</v>
      </c>
      <c r="I398" t="s">
        <v>98</v>
      </c>
      <c r="J398">
        <v>710209</v>
      </c>
      <c r="K398" t="s">
        <v>76</v>
      </c>
      <c r="L398" t="s">
        <v>77</v>
      </c>
      <c r="M398" t="s">
        <v>77</v>
      </c>
      <c r="N398">
        <v>9</v>
      </c>
      <c r="O398">
        <v>2023</v>
      </c>
      <c r="P398" s="57">
        <v>45170</v>
      </c>
    </row>
    <row r="399" spans="1:16" x14ac:dyDescent="0.35">
      <c r="A399" t="s">
        <v>81</v>
      </c>
      <c r="B399">
        <v>1</v>
      </c>
      <c r="C399">
        <v>1</v>
      </c>
      <c r="D399">
        <v>1</v>
      </c>
      <c r="E399">
        <v>1</v>
      </c>
      <c r="F399">
        <v>1</v>
      </c>
      <c r="G399" t="s">
        <v>42</v>
      </c>
      <c r="H399" t="s">
        <v>74</v>
      </c>
      <c r="I399" t="s">
        <v>98</v>
      </c>
      <c r="J399">
        <v>710209</v>
      </c>
      <c r="K399" t="s">
        <v>76</v>
      </c>
      <c r="L399" t="s">
        <v>77</v>
      </c>
      <c r="M399" t="s">
        <v>77</v>
      </c>
      <c r="N399">
        <v>9</v>
      </c>
      <c r="O399">
        <v>2023</v>
      </c>
      <c r="P399" s="57">
        <v>45170</v>
      </c>
    </row>
    <row r="400" spans="1:16" x14ac:dyDescent="0.35">
      <c r="A400" t="s">
        <v>82</v>
      </c>
      <c r="B400">
        <v>6</v>
      </c>
      <c r="C400">
        <v>9</v>
      </c>
      <c r="D400">
        <v>9</v>
      </c>
      <c r="E400">
        <v>6</v>
      </c>
      <c r="F400">
        <v>1</v>
      </c>
      <c r="G400" t="s">
        <v>42</v>
      </c>
      <c r="H400" t="s">
        <v>83</v>
      </c>
      <c r="I400" t="s">
        <v>98</v>
      </c>
      <c r="J400">
        <v>710209</v>
      </c>
      <c r="K400" t="s">
        <v>76</v>
      </c>
      <c r="L400" t="s">
        <v>77</v>
      </c>
      <c r="M400" t="s">
        <v>77</v>
      </c>
      <c r="N400">
        <v>9</v>
      </c>
      <c r="O400">
        <v>2023</v>
      </c>
      <c r="P400" s="57">
        <v>45170</v>
      </c>
    </row>
    <row r="401" spans="1:16" x14ac:dyDescent="0.35">
      <c r="A401" t="s">
        <v>94</v>
      </c>
      <c r="B401">
        <v>1</v>
      </c>
      <c r="C401">
        <v>2</v>
      </c>
      <c r="D401">
        <v>2</v>
      </c>
      <c r="E401">
        <v>1</v>
      </c>
      <c r="F401">
        <v>1</v>
      </c>
      <c r="G401" t="s">
        <v>37</v>
      </c>
      <c r="H401" t="s">
        <v>74</v>
      </c>
      <c r="I401" t="s">
        <v>95</v>
      </c>
      <c r="J401">
        <v>750318</v>
      </c>
      <c r="K401" t="s">
        <v>76</v>
      </c>
      <c r="L401" t="s">
        <v>77</v>
      </c>
      <c r="M401" t="s">
        <v>77</v>
      </c>
      <c r="N401">
        <v>9</v>
      </c>
      <c r="O401">
        <v>2023</v>
      </c>
      <c r="P401" s="57">
        <v>45170</v>
      </c>
    </row>
    <row r="402" spans="1:16" x14ac:dyDescent="0.35">
      <c r="A402" t="s">
        <v>94</v>
      </c>
      <c r="B402">
        <v>1</v>
      </c>
      <c r="C402">
        <v>1</v>
      </c>
      <c r="D402">
        <v>1</v>
      </c>
      <c r="E402">
        <v>1</v>
      </c>
      <c r="F402">
        <v>1</v>
      </c>
      <c r="G402" t="s">
        <v>42</v>
      </c>
      <c r="H402" t="s">
        <v>74</v>
      </c>
      <c r="I402" t="s">
        <v>95</v>
      </c>
      <c r="J402">
        <v>750318</v>
      </c>
      <c r="K402" t="s">
        <v>76</v>
      </c>
      <c r="L402" t="s">
        <v>77</v>
      </c>
      <c r="M402" t="s">
        <v>77</v>
      </c>
      <c r="N402">
        <v>9</v>
      </c>
      <c r="O402">
        <v>2023</v>
      </c>
      <c r="P402" s="57">
        <v>45170</v>
      </c>
    </row>
    <row r="403" spans="1:16" x14ac:dyDescent="0.35">
      <c r="A403" t="s">
        <v>113</v>
      </c>
      <c r="B403">
        <v>1</v>
      </c>
      <c r="C403">
        <v>1</v>
      </c>
      <c r="D403">
        <v>1</v>
      </c>
      <c r="E403">
        <v>1</v>
      </c>
      <c r="F403">
        <v>1</v>
      </c>
      <c r="G403" t="s">
        <v>42</v>
      </c>
      <c r="H403" t="s">
        <v>87</v>
      </c>
      <c r="I403" t="s">
        <v>98</v>
      </c>
      <c r="J403">
        <v>710209</v>
      </c>
      <c r="K403" t="s">
        <v>76</v>
      </c>
      <c r="L403" t="s">
        <v>77</v>
      </c>
      <c r="M403" t="s">
        <v>77</v>
      </c>
      <c r="N403">
        <v>9</v>
      </c>
      <c r="O403">
        <v>2023</v>
      </c>
      <c r="P403" s="57">
        <v>45170</v>
      </c>
    </row>
    <row r="404" spans="1:16" x14ac:dyDescent="0.35">
      <c r="A404" t="s">
        <v>86</v>
      </c>
      <c r="B404">
        <v>1</v>
      </c>
      <c r="C404">
        <v>1</v>
      </c>
      <c r="D404">
        <v>1</v>
      </c>
      <c r="E404">
        <v>1</v>
      </c>
      <c r="F404">
        <v>1</v>
      </c>
      <c r="G404" t="s">
        <v>42</v>
      </c>
      <c r="H404" t="s">
        <v>87</v>
      </c>
      <c r="I404" t="s">
        <v>98</v>
      </c>
      <c r="J404">
        <v>710209</v>
      </c>
      <c r="K404" t="s">
        <v>76</v>
      </c>
      <c r="L404" t="s">
        <v>77</v>
      </c>
      <c r="M404" t="s">
        <v>77</v>
      </c>
      <c r="N404">
        <v>9</v>
      </c>
      <c r="O404">
        <v>2023</v>
      </c>
      <c r="P404" s="57">
        <v>45170</v>
      </c>
    </row>
    <row r="405" spans="1:16" x14ac:dyDescent="0.35">
      <c r="A405" t="s">
        <v>88</v>
      </c>
      <c r="B405">
        <v>1</v>
      </c>
      <c r="C405">
        <v>1</v>
      </c>
      <c r="D405">
        <v>1</v>
      </c>
      <c r="E405">
        <v>1</v>
      </c>
      <c r="F405">
        <v>1</v>
      </c>
      <c r="G405" t="s">
        <v>42</v>
      </c>
      <c r="H405" t="s">
        <v>74</v>
      </c>
      <c r="I405" t="s">
        <v>98</v>
      </c>
      <c r="J405">
        <v>710209</v>
      </c>
      <c r="K405" t="s">
        <v>76</v>
      </c>
      <c r="L405" t="s">
        <v>77</v>
      </c>
      <c r="M405" t="s">
        <v>77</v>
      </c>
      <c r="N405">
        <v>9</v>
      </c>
      <c r="O405">
        <v>2023</v>
      </c>
      <c r="P405" s="57">
        <v>45170</v>
      </c>
    </row>
    <row r="406" spans="1:16" x14ac:dyDescent="0.35">
      <c r="A406" t="s">
        <v>78</v>
      </c>
      <c r="B406">
        <v>2</v>
      </c>
      <c r="C406">
        <v>3</v>
      </c>
      <c r="D406">
        <v>3</v>
      </c>
      <c r="E406">
        <v>2</v>
      </c>
      <c r="F406">
        <v>2</v>
      </c>
      <c r="G406" t="s">
        <v>42</v>
      </c>
      <c r="H406" t="s">
        <v>74</v>
      </c>
      <c r="I406" t="s">
        <v>79</v>
      </c>
      <c r="J406">
        <v>710209</v>
      </c>
      <c r="K406" t="s">
        <v>76</v>
      </c>
      <c r="L406" t="s">
        <v>77</v>
      </c>
      <c r="M406" t="s">
        <v>77</v>
      </c>
      <c r="N406">
        <v>10</v>
      </c>
      <c r="O406">
        <v>2020</v>
      </c>
      <c r="P406" s="57">
        <v>44105</v>
      </c>
    </row>
    <row r="407" spans="1:16" x14ac:dyDescent="0.35">
      <c r="A407" t="s">
        <v>80</v>
      </c>
      <c r="B407">
        <v>3</v>
      </c>
      <c r="C407">
        <v>3</v>
      </c>
      <c r="D407">
        <v>3</v>
      </c>
      <c r="E407">
        <v>3</v>
      </c>
      <c r="F407">
        <v>2</v>
      </c>
      <c r="G407" t="s">
        <v>40</v>
      </c>
      <c r="H407" t="s">
        <v>74</v>
      </c>
      <c r="I407" t="s">
        <v>79</v>
      </c>
      <c r="J407">
        <v>710209</v>
      </c>
      <c r="K407" t="s">
        <v>76</v>
      </c>
      <c r="L407" t="s">
        <v>77</v>
      </c>
      <c r="M407" t="s">
        <v>77</v>
      </c>
      <c r="N407">
        <v>10</v>
      </c>
      <c r="O407">
        <v>2020</v>
      </c>
      <c r="P407" s="57">
        <v>44105</v>
      </c>
    </row>
    <row r="408" spans="1:16" x14ac:dyDescent="0.35">
      <c r="A408" t="s">
        <v>81</v>
      </c>
      <c r="B408">
        <v>1</v>
      </c>
      <c r="C408">
        <v>1</v>
      </c>
      <c r="D408">
        <v>1</v>
      </c>
      <c r="E408">
        <v>1</v>
      </c>
      <c r="F408">
        <v>1</v>
      </c>
      <c r="G408" t="s">
        <v>42</v>
      </c>
      <c r="H408" t="s">
        <v>74</v>
      </c>
      <c r="I408" t="s">
        <v>79</v>
      </c>
      <c r="J408">
        <v>710209</v>
      </c>
      <c r="K408" t="s">
        <v>76</v>
      </c>
      <c r="L408" t="s">
        <v>77</v>
      </c>
      <c r="M408" t="s">
        <v>77</v>
      </c>
      <c r="N408">
        <v>10</v>
      </c>
      <c r="O408">
        <v>2020</v>
      </c>
      <c r="P408" s="57">
        <v>44105</v>
      </c>
    </row>
    <row r="409" spans="1:16" x14ac:dyDescent="0.35">
      <c r="A409" t="s">
        <v>82</v>
      </c>
      <c r="B409">
        <v>1</v>
      </c>
      <c r="C409">
        <v>1</v>
      </c>
      <c r="D409">
        <v>1</v>
      </c>
      <c r="E409">
        <v>1</v>
      </c>
      <c r="F409">
        <v>1</v>
      </c>
      <c r="G409" t="s">
        <v>40</v>
      </c>
      <c r="H409" t="s">
        <v>83</v>
      </c>
      <c r="I409" t="s">
        <v>79</v>
      </c>
      <c r="J409">
        <v>710209</v>
      </c>
      <c r="K409" t="s">
        <v>76</v>
      </c>
      <c r="L409" t="s">
        <v>77</v>
      </c>
      <c r="M409" t="s">
        <v>77</v>
      </c>
      <c r="N409">
        <v>10</v>
      </c>
      <c r="O409">
        <v>2020</v>
      </c>
      <c r="P409" s="57">
        <v>44105</v>
      </c>
    </row>
    <row r="410" spans="1:16" x14ac:dyDescent="0.35">
      <c r="A410" t="s">
        <v>82</v>
      </c>
      <c r="B410">
        <v>1</v>
      </c>
      <c r="C410">
        <v>1</v>
      </c>
      <c r="D410">
        <v>2</v>
      </c>
      <c r="E410">
        <v>2</v>
      </c>
      <c r="F410">
        <v>1</v>
      </c>
      <c r="G410" t="s">
        <v>42</v>
      </c>
      <c r="H410" t="s">
        <v>83</v>
      </c>
      <c r="I410" t="s">
        <v>79</v>
      </c>
      <c r="J410">
        <v>710209</v>
      </c>
      <c r="K410" t="s">
        <v>76</v>
      </c>
      <c r="L410" t="s">
        <v>77</v>
      </c>
      <c r="M410" t="s">
        <v>77</v>
      </c>
      <c r="N410">
        <v>10</v>
      </c>
      <c r="O410">
        <v>2020</v>
      </c>
      <c r="P410" s="57">
        <v>44105</v>
      </c>
    </row>
    <row r="411" spans="1:16" x14ac:dyDescent="0.35">
      <c r="A411" t="s">
        <v>94</v>
      </c>
      <c r="B411">
        <v>2</v>
      </c>
      <c r="C411">
        <v>3</v>
      </c>
      <c r="D411">
        <v>3</v>
      </c>
      <c r="E411">
        <v>2</v>
      </c>
      <c r="F411">
        <v>2</v>
      </c>
      <c r="G411" t="s">
        <v>40</v>
      </c>
      <c r="H411" t="s">
        <v>74</v>
      </c>
      <c r="I411" t="s">
        <v>95</v>
      </c>
      <c r="J411">
        <v>750318</v>
      </c>
      <c r="K411" t="s">
        <v>76</v>
      </c>
      <c r="L411" t="s">
        <v>77</v>
      </c>
      <c r="M411" t="s">
        <v>77</v>
      </c>
      <c r="N411">
        <v>10</v>
      </c>
      <c r="O411">
        <v>2020</v>
      </c>
      <c r="P411" s="57">
        <v>44105</v>
      </c>
    </row>
    <row r="412" spans="1:16" x14ac:dyDescent="0.35">
      <c r="A412" t="s">
        <v>94</v>
      </c>
      <c r="B412">
        <v>1</v>
      </c>
      <c r="C412">
        <v>2</v>
      </c>
      <c r="D412">
        <v>2</v>
      </c>
      <c r="E412">
        <v>1</v>
      </c>
      <c r="F412">
        <v>1</v>
      </c>
      <c r="G412" t="s">
        <v>42</v>
      </c>
      <c r="H412" t="s">
        <v>74</v>
      </c>
      <c r="I412" t="s">
        <v>95</v>
      </c>
      <c r="J412">
        <v>750318</v>
      </c>
      <c r="K412" t="s">
        <v>76</v>
      </c>
      <c r="L412" t="s">
        <v>77</v>
      </c>
      <c r="M412" t="s">
        <v>77</v>
      </c>
      <c r="N412">
        <v>10</v>
      </c>
      <c r="O412">
        <v>2020</v>
      </c>
      <c r="P412" s="57">
        <v>44105</v>
      </c>
    </row>
    <row r="413" spans="1:16" x14ac:dyDescent="0.35">
      <c r="A413" t="s">
        <v>78</v>
      </c>
      <c r="B413">
        <v>1</v>
      </c>
      <c r="C413">
        <v>2</v>
      </c>
      <c r="D413">
        <v>2</v>
      </c>
      <c r="E413">
        <v>1</v>
      </c>
      <c r="F413">
        <v>1</v>
      </c>
      <c r="G413" t="s">
        <v>37</v>
      </c>
      <c r="H413" t="s">
        <v>74</v>
      </c>
      <c r="I413" t="s">
        <v>79</v>
      </c>
      <c r="J413">
        <v>710209</v>
      </c>
      <c r="K413" t="s">
        <v>76</v>
      </c>
      <c r="L413" t="s">
        <v>77</v>
      </c>
      <c r="M413" t="s">
        <v>77</v>
      </c>
      <c r="N413">
        <v>10</v>
      </c>
      <c r="O413">
        <v>2021</v>
      </c>
      <c r="P413" s="57">
        <v>44470</v>
      </c>
    </row>
    <row r="414" spans="1:16" x14ac:dyDescent="0.35">
      <c r="A414" t="s">
        <v>78</v>
      </c>
      <c r="B414">
        <v>1</v>
      </c>
      <c r="C414">
        <v>2</v>
      </c>
      <c r="D414">
        <v>2</v>
      </c>
      <c r="E414">
        <v>1</v>
      </c>
      <c r="F414">
        <v>1</v>
      </c>
      <c r="G414" t="s">
        <v>37</v>
      </c>
      <c r="H414" t="s">
        <v>74</v>
      </c>
      <c r="I414" t="s">
        <v>79</v>
      </c>
      <c r="J414">
        <v>710209</v>
      </c>
      <c r="K414" t="s">
        <v>76</v>
      </c>
      <c r="L414" t="s">
        <v>77</v>
      </c>
      <c r="M414" t="s">
        <v>77</v>
      </c>
      <c r="N414">
        <v>10</v>
      </c>
      <c r="O414">
        <v>2021</v>
      </c>
      <c r="P414" s="57">
        <v>44470</v>
      </c>
    </row>
    <row r="415" spans="1:16" x14ac:dyDescent="0.35">
      <c r="A415" t="s">
        <v>122</v>
      </c>
      <c r="B415">
        <v>1</v>
      </c>
      <c r="C415">
        <v>1</v>
      </c>
      <c r="D415">
        <v>1</v>
      </c>
      <c r="E415">
        <v>1</v>
      </c>
      <c r="F415">
        <v>1</v>
      </c>
      <c r="G415" t="s">
        <v>40</v>
      </c>
      <c r="H415" t="s">
        <v>83</v>
      </c>
      <c r="I415" t="s">
        <v>85</v>
      </c>
      <c r="J415">
        <v>555141</v>
      </c>
      <c r="K415" t="s">
        <v>76</v>
      </c>
      <c r="L415" t="s">
        <v>77</v>
      </c>
      <c r="M415" t="s">
        <v>77</v>
      </c>
      <c r="N415">
        <v>10</v>
      </c>
      <c r="O415">
        <v>2021</v>
      </c>
      <c r="P415" s="57">
        <v>44470</v>
      </c>
    </row>
    <row r="416" spans="1:16" x14ac:dyDescent="0.35">
      <c r="A416" t="s">
        <v>80</v>
      </c>
      <c r="B416">
        <v>2</v>
      </c>
      <c r="C416">
        <v>5</v>
      </c>
      <c r="D416">
        <v>6</v>
      </c>
      <c r="E416">
        <v>3</v>
      </c>
      <c r="F416">
        <v>1</v>
      </c>
      <c r="G416" t="s">
        <v>37</v>
      </c>
      <c r="H416" t="s">
        <v>74</v>
      </c>
      <c r="I416" t="s">
        <v>79</v>
      </c>
      <c r="J416">
        <v>710209</v>
      </c>
      <c r="K416" t="s">
        <v>76</v>
      </c>
      <c r="L416" t="s">
        <v>77</v>
      </c>
      <c r="M416" t="s">
        <v>77</v>
      </c>
      <c r="N416">
        <v>10</v>
      </c>
      <c r="O416">
        <v>2021</v>
      </c>
      <c r="P416" s="57">
        <v>44470</v>
      </c>
    </row>
    <row r="417" spans="1:16" x14ac:dyDescent="0.35">
      <c r="A417" t="s">
        <v>81</v>
      </c>
      <c r="B417">
        <v>2</v>
      </c>
      <c r="C417">
        <v>2</v>
      </c>
      <c r="D417">
        <v>2</v>
      </c>
      <c r="E417">
        <v>2</v>
      </c>
      <c r="F417">
        <v>1</v>
      </c>
      <c r="G417" t="s">
        <v>42</v>
      </c>
      <c r="H417" t="s">
        <v>74</v>
      </c>
      <c r="I417" t="s">
        <v>79</v>
      </c>
      <c r="J417">
        <v>710209</v>
      </c>
      <c r="K417" t="s">
        <v>76</v>
      </c>
      <c r="L417" t="s">
        <v>77</v>
      </c>
      <c r="M417" t="s">
        <v>77</v>
      </c>
      <c r="N417">
        <v>10</v>
      </c>
      <c r="O417">
        <v>2021</v>
      </c>
      <c r="P417" s="57">
        <v>44470</v>
      </c>
    </row>
    <row r="418" spans="1:16" x14ac:dyDescent="0.35">
      <c r="A418" t="s">
        <v>81</v>
      </c>
      <c r="B418">
        <v>2</v>
      </c>
      <c r="C418">
        <v>3</v>
      </c>
      <c r="D418">
        <v>4</v>
      </c>
      <c r="E418">
        <v>3</v>
      </c>
      <c r="F418">
        <v>2</v>
      </c>
      <c r="G418" t="s">
        <v>37</v>
      </c>
      <c r="H418" t="s">
        <v>74</v>
      </c>
      <c r="I418" t="s">
        <v>79</v>
      </c>
      <c r="J418">
        <v>710209</v>
      </c>
      <c r="K418" t="s">
        <v>76</v>
      </c>
      <c r="L418" t="s">
        <v>77</v>
      </c>
      <c r="M418" t="s">
        <v>77</v>
      </c>
      <c r="N418">
        <v>10</v>
      </c>
      <c r="O418">
        <v>2021</v>
      </c>
      <c r="P418" s="57">
        <v>44470</v>
      </c>
    </row>
    <row r="419" spans="1:16" x14ac:dyDescent="0.35">
      <c r="A419" t="s">
        <v>82</v>
      </c>
      <c r="B419">
        <v>1</v>
      </c>
      <c r="C419">
        <v>1</v>
      </c>
      <c r="D419">
        <v>1</v>
      </c>
      <c r="E419">
        <v>1</v>
      </c>
      <c r="F419">
        <v>1</v>
      </c>
      <c r="G419" t="s">
        <v>40</v>
      </c>
      <c r="H419" t="s">
        <v>83</v>
      </c>
      <c r="I419" t="s">
        <v>79</v>
      </c>
      <c r="J419">
        <v>710209</v>
      </c>
      <c r="K419" t="s">
        <v>76</v>
      </c>
      <c r="L419" t="s">
        <v>77</v>
      </c>
      <c r="M419" t="s">
        <v>77</v>
      </c>
      <c r="N419">
        <v>10</v>
      </c>
      <c r="O419">
        <v>2021</v>
      </c>
      <c r="P419" s="57">
        <v>44470</v>
      </c>
    </row>
    <row r="420" spans="1:16" x14ac:dyDescent="0.35">
      <c r="A420" t="s">
        <v>94</v>
      </c>
      <c r="B420">
        <v>1</v>
      </c>
      <c r="C420">
        <v>1</v>
      </c>
      <c r="D420">
        <v>1</v>
      </c>
      <c r="E420">
        <v>1</v>
      </c>
      <c r="F420">
        <v>1</v>
      </c>
      <c r="G420" t="s">
        <v>42</v>
      </c>
      <c r="H420" t="s">
        <v>74</v>
      </c>
      <c r="I420" t="s">
        <v>95</v>
      </c>
      <c r="J420">
        <v>750318</v>
      </c>
      <c r="K420" t="s">
        <v>76</v>
      </c>
      <c r="L420" t="s">
        <v>77</v>
      </c>
      <c r="M420" t="s">
        <v>77</v>
      </c>
      <c r="N420">
        <v>10</v>
      </c>
      <c r="O420">
        <v>2021</v>
      </c>
      <c r="P420" s="57">
        <v>44470</v>
      </c>
    </row>
    <row r="421" spans="1:16" x14ac:dyDescent="0.35">
      <c r="A421" t="s">
        <v>94</v>
      </c>
      <c r="B421">
        <v>1</v>
      </c>
      <c r="C421">
        <v>1</v>
      </c>
      <c r="D421">
        <v>1</v>
      </c>
      <c r="E421">
        <v>1</v>
      </c>
      <c r="F421">
        <v>1</v>
      </c>
      <c r="G421" t="s">
        <v>40</v>
      </c>
      <c r="H421" t="s">
        <v>74</v>
      </c>
      <c r="I421" t="s">
        <v>95</v>
      </c>
      <c r="J421">
        <v>750318</v>
      </c>
      <c r="K421" t="s">
        <v>76</v>
      </c>
      <c r="L421" t="s">
        <v>77</v>
      </c>
      <c r="M421" t="s">
        <v>77</v>
      </c>
      <c r="N421">
        <v>10</v>
      </c>
      <c r="O421">
        <v>2021</v>
      </c>
      <c r="P421" s="57">
        <v>44470</v>
      </c>
    </row>
    <row r="422" spans="1:16" x14ac:dyDescent="0.35">
      <c r="A422" t="s">
        <v>86</v>
      </c>
      <c r="B422">
        <v>1</v>
      </c>
      <c r="C422">
        <v>1</v>
      </c>
      <c r="D422">
        <v>1</v>
      </c>
      <c r="E422">
        <v>1</v>
      </c>
      <c r="F422">
        <v>1</v>
      </c>
      <c r="G422" t="s">
        <v>42</v>
      </c>
      <c r="H422" t="s">
        <v>87</v>
      </c>
      <c r="I422" t="s">
        <v>79</v>
      </c>
      <c r="J422">
        <v>710209</v>
      </c>
      <c r="K422" t="s">
        <v>76</v>
      </c>
      <c r="L422" t="s">
        <v>77</v>
      </c>
      <c r="M422" t="s">
        <v>77</v>
      </c>
      <c r="N422">
        <v>10</v>
      </c>
      <c r="O422">
        <v>2021</v>
      </c>
      <c r="P422" s="57">
        <v>44470</v>
      </c>
    </row>
    <row r="423" spans="1:16" x14ac:dyDescent="0.35">
      <c r="A423" t="s">
        <v>119</v>
      </c>
      <c r="B423">
        <v>2</v>
      </c>
      <c r="C423">
        <v>3</v>
      </c>
      <c r="D423">
        <v>3</v>
      </c>
      <c r="E423">
        <v>2</v>
      </c>
      <c r="F423">
        <v>1</v>
      </c>
      <c r="G423" t="s">
        <v>37</v>
      </c>
      <c r="H423" t="s">
        <v>87</v>
      </c>
      <c r="I423" t="s">
        <v>79</v>
      </c>
      <c r="J423">
        <v>710209</v>
      </c>
      <c r="K423" t="s">
        <v>76</v>
      </c>
      <c r="L423" t="s">
        <v>77</v>
      </c>
      <c r="M423" t="s">
        <v>77</v>
      </c>
      <c r="N423">
        <v>10</v>
      </c>
      <c r="O423">
        <v>2021</v>
      </c>
      <c r="P423" s="57">
        <v>44470</v>
      </c>
    </row>
    <row r="424" spans="1:16" x14ac:dyDescent="0.35">
      <c r="A424" t="s">
        <v>78</v>
      </c>
      <c r="B424">
        <v>2</v>
      </c>
      <c r="C424">
        <v>3</v>
      </c>
      <c r="D424">
        <v>3</v>
      </c>
      <c r="E424">
        <v>2</v>
      </c>
      <c r="F424">
        <v>1</v>
      </c>
      <c r="G424" t="s">
        <v>42</v>
      </c>
      <c r="H424" t="s">
        <v>74</v>
      </c>
      <c r="I424" t="s">
        <v>93</v>
      </c>
      <c r="J424">
        <v>710209</v>
      </c>
      <c r="K424" t="s">
        <v>76</v>
      </c>
      <c r="L424" t="s">
        <v>77</v>
      </c>
      <c r="M424" t="s">
        <v>77</v>
      </c>
      <c r="N424">
        <v>10</v>
      </c>
      <c r="O424">
        <v>2022</v>
      </c>
      <c r="P424" s="57">
        <v>44835</v>
      </c>
    </row>
    <row r="425" spans="1:16" x14ac:dyDescent="0.35">
      <c r="A425" t="s">
        <v>80</v>
      </c>
      <c r="B425">
        <v>1</v>
      </c>
      <c r="C425">
        <v>1</v>
      </c>
      <c r="D425">
        <v>1</v>
      </c>
      <c r="E425">
        <v>1</v>
      </c>
      <c r="F425">
        <v>1</v>
      </c>
      <c r="G425" t="s">
        <v>42</v>
      </c>
      <c r="H425" t="s">
        <v>74</v>
      </c>
      <c r="I425" t="s">
        <v>93</v>
      </c>
      <c r="J425">
        <v>710209</v>
      </c>
      <c r="K425" t="s">
        <v>76</v>
      </c>
      <c r="L425" t="s">
        <v>77</v>
      </c>
      <c r="M425" t="s">
        <v>77</v>
      </c>
      <c r="N425">
        <v>10</v>
      </c>
      <c r="O425">
        <v>2022</v>
      </c>
      <c r="P425" s="57">
        <v>44835</v>
      </c>
    </row>
    <row r="426" spans="1:16" x14ac:dyDescent="0.35">
      <c r="A426" t="s">
        <v>82</v>
      </c>
      <c r="B426">
        <v>2</v>
      </c>
      <c r="C426">
        <v>3</v>
      </c>
      <c r="D426">
        <v>3</v>
      </c>
      <c r="E426">
        <v>2</v>
      </c>
      <c r="F426">
        <v>2</v>
      </c>
      <c r="G426" t="s">
        <v>40</v>
      </c>
      <c r="H426" t="s">
        <v>83</v>
      </c>
      <c r="I426" t="s">
        <v>93</v>
      </c>
      <c r="J426">
        <v>710209</v>
      </c>
      <c r="K426" t="s">
        <v>76</v>
      </c>
      <c r="L426" t="s">
        <v>77</v>
      </c>
      <c r="M426" t="s">
        <v>77</v>
      </c>
      <c r="N426">
        <v>10</v>
      </c>
      <c r="O426">
        <v>2022</v>
      </c>
      <c r="P426" s="57">
        <v>44835</v>
      </c>
    </row>
    <row r="427" spans="1:16" x14ac:dyDescent="0.35">
      <c r="A427" t="s">
        <v>82</v>
      </c>
      <c r="B427">
        <v>2</v>
      </c>
      <c r="C427">
        <v>3</v>
      </c>
      <c r="D427">
        <v>3</v>
      </c>
      <c r="E427">
        <v>2</v>
      </c>
      <c r="F427">
        <v>2</v>
      </c>
      <c r="G427" t="s">
        <v>37</v>
      </c>
      <c r="H427" t="s">
        <v>83</v>
      </c>
      <c r="I427" t="s">
        <v>93</v>
      </c>
      <c r="J427">
        <v>710209</v>
      </c>
      <c r="K427" t="s">
        <v>76</v>
      </c>
      <c r="L427" t="s">
        <v>77</v>
      </c>
      <c r="M427" t="s">
        <v>77</v>
      </c>
      <c r="N427">
        <v>10</v>
      </c>
      <c r="O427">
        <v>2022</v>
      </c>
      <c r="P427" s="57">
        <v>44835</v>
      </c>
    </row>
    <row r="428" spans="1:16" x14ac:dyDescent="0.35">
      <c r="A428" t="s">
        <v>94</v>
      </c>
      <c r="B428">
        <v>3</v>
      </c>
      <c r="C428">
        <v>4</v>
      </c>
      <c r="D428">
        <v>4</v>
      </c>
      <c r="E428">
        <v>3</v>
      </c>
      <c r="F428">
        <v>2</v>
      </c>
      <c r="G428" t="s">
        <v>42</v>
      </c>
      <c r="H428" t="s">
        <v>74</v>
      </c>
      <c r="I428" t="s">
        <v>95</v>
      </c>
      <c r="J428">
        <v>750318</v>
      </c>
      <c r="K428" t="s">
        <v>76</v>
      </c>
      <c r="L428" t="s">
        <v>77</v>
      </c>
      <c r="M428" t="s">
        <v>77</v>
      </c>
      <c r="N428">
        <v>10</v>
      </c>
      <c r="O428">
        <v>2022</v>
      </c>
      <c r="P428" s="57">
        <v>44835</v>
      </c>
    </row>
    <row r="429" spans="1:16" x14ac:dyDescent="0.35">
      <c r="A429" t="s">
        <v>94</v>
      </c>
      <c r="B429">
        <v>3</v>
      </c>
      <c r="C429">
        <v>3</v>
      </c>
      <c r="D429">
        <v>3</v>
      </c>
      <c r="E429">
        <v>3</v>
      </c>
      <c r="F429">
        <v>2</v>
      </c>
      <c r="G429" t="s">
        <v>40</v>
      </c>
      <c r="H429" t="s">
        <v>74</v>
      </c>
      <c r="I429" t="s">
        <v>95</v>
      </c>
      <c r="J429">
        <v>750318</v>
      </c>
      <c r="K429" t="s">
        <v>76</v>
      </c>
      <c r="L429" t="s">
        <v>77</v>
      </c>
      <c r="M429" t="s">
        <v>77</v>
      </c>
      <c r="N429">
        <v>10</v>
      </c>
      <c r="O429">
        <v>2022</v>
      </c>
      <c r="P429" s="57">
        <v>44835</v>
      </c>
    </row>
    <row r="430" spans="1:16" x14ac:dyDescent="0.35">
      <c r="A430" t="s">
        <v>94</v>
      </c>
      <c r="B430">
        <v>1</v>
      </c>
      <c r="C430">
        <v>4</v>
      </c>
      <c r="D430">
        <v>4</v>
      </c>
      <c r="E430">
        <v>1</v>
      </c>
      <c r="F430">
        <v>1</v>
      </c>
      <c r="G430" t="s">
        <v>37</v>
      </c>
      <c r="H430" t="s">
        <v>74</v>
      </c>
      <c r="I430" t="s">
        <v>95</v>
      </c>
      <c r="J430">
        <v>750318</v>
      </c>
      <c r="K430" t="s">
        <v>76</v>
      </c>
      <c r="L430" t="s">
        <v>77</v>
      </c>
      <c r="M430" t="s">
        <v>77</v>
      </c>
      <c r="N430">
        <v>10</v>
      </c>
      <c r="O430">
        <v>2022</v>
      </c>
      <c r="P430" s="57">
        <v>44835</v>
      </c>
    </row>
    <row r="431" spans="1:16" x14ac:dyDescent="0.35">
      <c r="A431" t="s">
        <v>88</v>
      </c>
      <c r="B431">
        <v>1</v>
      </c>
      <c r="C431">
        <v>3</v>
      </c>
      <c r="D431">
        <v>3</v>
      </c>
      <c r="E431">
        <v>1</v>
      </c>
      <c r="F431">
        <v>1</v>
      </c>
      <c r="G431" t="s">
        <v>37</v>
      </c>
      <c r="H431" t="s">
        <v>74</v>
      </c>
      <c r="I431" t="s">
        <v>93</v>
      </c>
      <c r="J431">
        <v>710209</v>
      </c>
      <c r="K431" t="s">
        <v>76</v>
      </c>
      <c r="L431" t="s">
        <v>77</v>
      </c>
      <c r="M431" t="s">
        <v>77</v>
      </c>
      <c r="N431">
        <v>10</v>
      </c>
      <c r="O431">
        <v>2022</v>
      </c>
      <c r="P431" s="57">
        <v>44835</v>
      </c>
    </row>
    <row r="432" spans="1:16" x14ac:dyDescent="0.35">
      <c r="A432" t="s">
        <v>78</v>
      </c>
      <c r="B432">
        <v>1</v>
      </c>
      <c r="C432">
        <v>1</v>
      </c>
      <c r="D432">
        <v>1</v>
      </c>
      <c r="E432">
        <v>1</v>
      </c>
      <c r="F432">
        <v>1</v>
      </c>
      <c r="G432" t="s">
        <v>42</v>
      </c>
      <c r="H432" t="s">
        <v>74</v>
      </c>
      <c r="I432" t="s">
        <v>79</v>
      </c>
      <c r="J432">
        <v>710209</v>
      </c>
      <c r="K432" t="s">
        <v>76</v>
      </c>
      <c r="L432" t="s">
        <v>77</v>
      </c>
      <c r="M432" t="s">
        <v>77</v>
      </c>
      <c r="N432">
        <v>11</v>
      </c>
      <c r="O432">
        <v>2020</v>
      </c>
      <c r="P432" s="57">
        <v>44136</v>
      </c>
    </row>
    <row r="433" spans="1:16" x14ac:dyDescent="0.35">
      <c r="A433" t="s">
        <v>80</v>
      </c>
      <c r="B433">
        <v>1</v>
      </c>
      <c r="C433">
        <v>1</v>
      </c>
      <c r="D433">
        <v>1</v>
      </c>
      <c r="E433">
        <v>1</v>
      </c>
      <c r="F433">
        <v>1</v>
      </c>
      <c r="G433" t="s">
        <v>42</v>
      </c>
      <c r="H433" t="s">
        <v>74</v>
      </c>
      <c r="I433" t="s">
        <v>79</v>
      </c>
      <c r="J433">
        <v>710209</v>
      </c>
      <c r="K433" t="s">
        <v>76</v>
      </c>
      <c r="L433" t="s">
        <v>77</v>
      </c>
      <c r="M433" t="s">
        <v>77</v>
      </c>
      <c r="N433">
        <v>11</v>
      </c>
      <c r="O433">
        <v>2020</v>
      </c>
      <c r="P433" s="57">
        <v>44136</v>
      </c>
    </row>
    <row r="434" spans="1:16" x14ac:dyDescent="0.35">
      <c r="A434" t="s">
        <v>92</v>
      </c>
      <c r="B434">
        <v>1</v>
      </c>
      <c r="C434">
        <v>1</v>
      </c>
      <c r="D434">
        <v>1</v>
      </c>
      <c r="E434">
        <v>1</v>
      </c>
      <c r="F434">
        <v>1</v>
      </c>
      <c r="G434" t="s">
        <v>42</v>
      </c>
      <c r="H434" t="s">
        <v>74</v>
      </c>
      <c r="I434" t="s">
        <v>79</v>
      </c>
      <c r="J434">
        <v>710209</v>
      </c>
      <c r="K434" t="s">
        <v>76</v>
      </c>
      <c r="L434" t="s">
        <v>77</v>
      </c>
      <c r="M434" t="s">
        <v>77</v>
      </c>
      <c r="N434">
        <v>11</v>
      </c>
      <c r="O434">
        <v>2020</v>
      </c>
      <c r="P434" s="57">
        <v>44136</v>
      </c>
    </row>
    <row r="435" spans="1:16" x14ac:dyDescent="0.35">
      <c r="A435" t="s">
        <v>92</v>
      </c>
      <c r="B435">
        <v>2</v>
      </c>
      <c r="C435">
        <v>2</v>
      </c>
      <c r="D435">
        <v>2</v>
      </c>
      <c r="E435">
        <v>2</v>
      </c>
      <c r="F435">
        <v>2</v>
      </c>
      <c r="G435" t="s">
        <v>40</v>
      </c>
      <c r="H435" t="s">
        <v>74</v>
      </c>
      <c r="I435" t="s">
        <v>79</v>
      </c>
      <c r="J435">
        <v>710209</v>
      </c>
      <c r="K435" t="s">
        <v>76</v>
      </c>
      <c r="L435" t="s">
        <v>77</v>
      </c>
      <c r="M435" t="s">
        <v>77</v>
      </c>
      <c r="N435">
        <v>11</v>
      </c>
      <c r="O435">
        <v>2020</v>
      </c>
      <c r="P435" s="57">
        <v>44136</v>
      </c>
    </row>
    <row r="436" spans="1:16" x14ac:dyDescent="0.35">
      <c r="A436" t="s">
        <v>112</v>
      </c>
      <c r="B436">
        <v>1</v>
      </c>
      <c r="C436">
        <v>1</v>
      </c>
      <c r="D436">
        <v>1</v>
      </c>
      <c r="E436">
        <v>1</v>
      </c>
      <c r="F436">
        <v>1</v>
      </c>
      <c r="G436" t="s">
        <v>42</v>
      </c>
      <c r="H436" t="s">
        <v>83</v>
      </c>
      <c r="I436" t="s">
        <v>85</v>
      </c>
      <c r="J436">
        <v>555141</v>
      </c>
      <c r="K436" t="s">
        <v>76</v>
      </c>
      <c r="L436" t="s">
        <v>77</v>
      </c>
      <c r="M436" t="s">
        <v>77</v>
      </c>
      <c r="N436">
        <v>11</v>
      </c>
      <c r="O436">
        <v>2020</v>
      </c>
      <c r="P436" s="57">
        <v>44136</v>
      </c>
    </row>
    <row r="437" spans="1:16" x14ac:dyDescent="0.35">
      <c r="A437" t="s">
        <v>81</v>
      </c>
      <c r="B437">
        <v>1</v>
      </c>
      <c r="C437">
        <v>4</v>
      </c>
      <c r="D437">
        <v>4</v>
      </c>
      <c r="E437">
        <v>1</v>
      </c>
      <c r="F437">
        <v>1</v>
      </c>
      <c r="G437" t="s">
        <v>42</v>
      </c>
      <c r="H437" t="s">
        <v>74</v>
      </c>
      <c r="I437" t="s">
        <v>79</v>
      </c>
      <c r="J437">
        <v>710209</v>
      </c>
      <c r="K437" t="s">
        <v>76</v>
      </c>
      <c r="L437" t="s">
        <v>77</v>
      </c>
      <c r="M437" t="s">
        <v>77</v>
      </c>
      <c r="N437">
        <v>11</v>
      </c>
      <c r="O437">
        <v>2020</v>
      </c>
      <c r="P437" s="57">
        <v>44136</v>
      </c>
    </row>
    <row r="438" spans="1:16" x14ac:dyDescent="0.35">
      <c r="A438" t="s">
        <v>82</v>
      </c>
      <c r="B438">
        <v>1</v>
      </c>
      <c r="C438">
        <v>2</v>
      </c>
      <c r="D438">
        <v>2</v>
      </c>
      <c r="E438">
        <v>1</v>
      </c>
      <c r="F438">
        <v>1</v>
      </c>
      <c r="G438" t="s">
        <v>40</v>
      </c>
      <c r="H438" t="s">
        <v>83</v>
      </c>
      <c r="I438" t="s">
        <v>79</v>
      </c>
      <c r="J438">
        <v>710209</v>
      </c>
      <c r="K438" t="s">
        <v>76</v>
      </c>
      <c r="L438" t="s">
        <v>77</v>
      </c>
      <c r="M438" t="s">
        <v>77</v>
      </c>
      <c r="N438">
        <v>11</v>
      </c>
      <c r="O438">
        <v>2020</v>
      </c>
      <c r="P438" s="57">
        <v>44136</v>
      </c>
    </row>
    <row r="439" spans="1:16" x14ac:dyDescent="0.35">
      <c r="A439" t="s">
        <v>82</v>
      </c>
      <c r="B439">
        <v>1</v>
      </c>
      <c r="C439">
        <v>1</v>
      </c>
      <c r="D439">
        <v>1</v>
      </c>
      <c r="E439">
        <v>1</v>
      </c>
      <c r="F439">
        <v>1</v>
      </c>
      <c r="G439" t="s">
        <v>42</v>
      </c>
      <c r="H439" t="s">
        <v>83</v>
      </c>
      <c r="I439" t="s">
        <v>79</v>
      </c>
      <c r="J439">
        <v>710209</v>
      </c>
      <c r="K439" t="s">
        <v>76</v>
      </c>
      <c r="L439" t="s">
        <v>77</v>
      </c>
      <c r="M439" t="s">
        <v>77</v>
      </c>
      <c r="N439">
        <v>11</v>
      </c>
      <c r="O439">
        <v>2020</v>
      </c>
      <c r="P439" s="57">
        <v>44136</v>
      </c>
    </row>
    <row r="440" spans="1:16" x14ac:dyDescent="0.35">
      <c r="A440" t="s">
        <v>82</v>
      </c>
      <c r="B440">
        <v>1</v>
      </c>
      <c r="C440">
        <v>1</v>
      </c>
      <c r="D440">
        <v>1</v>
      </c>
      <c r="E440">
        <v>1</v>
      </c>
      <c r="F440">
        <v>1</v>
      </c>
      <c r="G440" t="s">
        <v>42</v>
      </c>
      <c r="H440" t="s">
        <v>83</v>
      </c>
      <c r="I440" t="s">
        <v>79</v>
      </c>
      <c r="J440">
        <v>710209</v>
      </c>
      <c r="K440" t="s">
        <v>76</v>
      </c>
      <c r="L440" t="s">
        <v>77</v>
      </c>
      <c r="M440" t="s">
        <v>77</v>
      </c>
      <c r="N440">
        <v>11</v>
      </c>
      <c r="O440">
        <v>2020</v>
      </c>
      <c r="P440" s="57">
        <v>44136</v>
      </c>
    </row>
    <row r="441" spans="1:16" x14ac:dyDescent="0.35">
      <c r="A441" t="s">
        <v>94</v>
      </c>
      <c r="B441">
        <v>1</v>
      </c>
      <c r="C441">
        <v>1</v>
      </c>
      <c r="D441">
        <v>1</v>
      </c>
      <c r="E441">
        <v>1</v>
      </c>
      <c r="F441">
        <v>1</v>
      </c>
      <c r="G441" t="s">
        <v>40</v>
      </c>
      <c r="H441" t="s">
        <v>74</v>
      </c>
      <c r="I441" t="s">
        <v>95</v>
      </c>
      <c r="J441">
        <v>750318</v>
      </c>
      <c r="K441" t="s">
        <v>76</v>
      </c>
      <c r="L441" t="s">
        <v>77</v>
      </c>
      <c r="M441" t="s">
        <v>77</v>
      </c>
      <c r="N441">
        <v>11</v>
      </c>
      <c r="O441">
        <v>2020</v>
      </c>
      <c r="P441" s="57">
        <v>44136</v>
      </c>
    </row>
    <row r="442" spans="1:16" x14ac:dyDescent="0.35">
      <c r="A442" t="s">
        <v>94</v>
      </c>
      <c r="B442">
        <v>0</v>
      </c>
      <c r="C442">
        <v>1</v>
      </c>
      <c r="D442">
        <v>1</v>
      </c>
      <c r="E442">
        <v>0</v>
      </c>
      <c r="F442">
        <v>1</v>
      </c>
      <c r="G442" t="s">
        <v>40</v>
      </c>
      <c r="H442" t="s">
        <v>74</v>
      </c>
      <c r="I442" t="s">
        <v>95</v>
      </c>
      <c r="J442">
        <v>750318</v>
      </c>
      <c r="K442" t="s">
        <v>76</v>
      </c>
      <c r="L442" t="s">
        <v>77</v>
      </c>
      <c r="M442" t="s">
        <v>77</v>
      </c>
      <c r="N442">
        <v>11</v>
      </c>
      <c r="O442">
        <v>2020</v>
      </c>
      <c r="P442" s="57">
        <v>44136</v>
      </c>
    </row>
    <row r="443" spans="1:16" x14ac:dyDescent="0.35">
      <c r="A443" t="s">
        <v>94</v>
      </c>
      <c r="B443">
        <v>5</v>
      </c>
      <c r="C443">
        <v>8</v>
      </c>
      <c r="D443">
        <v>8</v>
      </c>
      <c r="E443">
        <v>5</v>
      </c>
      <c r="F443">
        <v>5</v>
      </c>
      <c r="G443" t="s">
        <v>40</v>
      </c>
      <c r="H443" t="s">
        <v>74</v>
      </c>
      <c r="I443" t="s">
        <v>95</v>
      </c>
      <c r="J443">
        <v>750318</v>
      </c>
      <c r="K443" t="s">
        <v>76</v>
      </c>
      <c r="L443" t="s">
        <v>77</v>
      </c>
      <c r="M443" t="s">
        <v>77</v>
      </c>
      <c r="N443">
        <v>11</v>
      </c>
      <c r="O443">
        <v>2020</v>
      </c>
      <c r="P443" s="57">
        <v>44136</v>
      </c>
    </row>
    <row r="444" spans="1:16" x14ac:dyDescent="0.35">
      <c r="A444" t="s">
        <v>86</v>
      </c>
      <c r="B444">
        <v>1</v>
      </c>
      <c r="C444">
        <v>1</v>
      </c>
      <c r="D444">
        <v>1</v>
      </c>
      <c r="E444">
        <v>1</v>
      </c>
      <c r="F444">
        <v>1</v>
      </c>
      <c r="G444" t="s">
        <v>42</v>
      </c>
      <c r="H444" t="s">
        <v>87</v>
      </c>
      <c r="I444" t="s">
        <v>79</v>
      </c>
      <c r="J444">
        <v>710209</v>
      </c>
      <c r="K444" t="s">
        <v>76</v>
      </c>
      <c r="L444" t="s">
        <v>77</v>
      </c>
      <c r="M444" t="s">
        <v>77</v>
      </c>
      <c r="N444">
        <v>11</v>
      </c>
      <c r="O444">
        <v>2020</v>
      </c>
      <c r="P444" s="57">
        <v>44136</v>
      </c>
    </row>
    <row r="445" spans="1:16" x14ac:dyDescent="0.35">
      <c r="A445" t="s">
        <v>86</v>
      </c>
      <c r="B445">
        <v>1</v>
      </c>
      <c r="C445">
        <v>2</v>
      </c>
      <c r="D445">
        <v>2</v>
      </c>
      <c r="E445">
        <v>1</v>
      </c>
      <c r="F445">
        <v>1</v>
      </c>
      <c r="G445" t="s">
        <v>42</v>
      </c>
      <c r="H445" t="s">
        <v>87</v>
      </c>
      <c r="I445" t="s">
        <v>79</v>
      </c>
      <c r="J445">
        <v>710209</v>
      </c>
      <c r="K445" t="s">
        <v>76</v>
      </c>
      <c r="L445" t="s">
        <v>77</v>
      </c>
      <c r="M445" t="s">
        <v>77</v>
      </c>
      <c r="N445">
        <v>11</v>
      </c>
      <c r="O445">
        <v>2020</v>
      </c>
      <c r="P445" s="57">
        <v>44136</v>
      </c>
    </row>
    <row r="446" spans="1:16" x14ac:dyDescent="0.35">
      <c r="A446" t="s">
        <v>88</v>
      </c>
      <c r="B446">
        <v>1</v>
      </c>
      <c r="C446">
        <v>2</v>
      </c>
      <c r="D446">
        <v>2</v>
      </c>
      <c r="E446">
        <v>1</v>
      </c>
      <c r="F446">
        <v>1</v>
      </c>
      <c r="G446" t="s">
        <v>42</v>
      </c>
      <c r="H446" t="s">
        <v>74</v>
      </c>
      <c r="I446" t="s">
        <v>79</v>
      </c>
      <c r="J446">
        <v>710209</v>
      </c>
      <c r="K446" t="s">
        <v>76</v>
      </c>
      <c r="L446" t="s">
        <v>77</v>
      </c>
      <c r="M446" t="s">
        <v>77</v>
      </c>
      <c r="N446">
        <v>11</v>
      </c>
      <c r="O446">
        <v>2020</v>
      </c>
      <c r="P446" s="57">
        <v>44136</v>
      </c>
    </row>
    <row r="447" spans="1:16" x14ac:dyDescent="0.35">
      <c r="A447" t="s">
        <v>88</v>
      </c>
      <c r="B447">
        <v>1</v>
      </c>
      <c r="C447">
        <v>1</v>
      </c>
      <c r="D447">
        <v>1</v>
      </c>
      <c r="E447">
        <v>1</v>
      </c>
      <c r="F447">
        <v>1</v>
      </c>
      <c r="G447" t="s">
        <v>40</v>
      </c>
      <c r="H447" t="s">
        <v>74</v>
      </c>
      <c r="I447" t="s">
        <v>79</v>
      </c>
      <c r="J447">
        <v>710209</v>
      </c>
      <c r="K447" t="s">
        <v>76</v>
      </c>
      <c r="L447" t="s">
        <v>77</v>
      </c>
      <c r="M447" t="s">
        <v>77</v>
      </c>
      <c r="N447">
        <v>11</v>
      </c>
      <c r="O447">
        <v>2020</v>
      </c>
      <c r="P447" s="57">
        <v>44136</v>
      </c>
    </row>
    <row r="448" spans="1:16" x14ac:dyDescent="0.35">
      <c r="A448" t="s">
        <v>78</v>
      </c>
      <c r="B448">
        <v>1</v>
      </c>
      <c r="C448">
        <v>1</v>
      </c>
      <c r="D448">
        <v>1</v>
      </c>
      <c r="E448">
        <v>1</v>
      </c>
      <c r="F448">
        <v>1</v>
      </c>
      <c r="G448" t="s">
        <v>42</v>
      </c>
      <c r="H448" t="s">
        <v>74</v>
      </c>
      <c r="I448" t="s">
        <v>79</v>
      </c>
      <c r="J448">
        <v>710209</v>
      </c>
      <c r="K448" t="s">
        <v>76</v>
      </c>
      <c r="L448" t="s">
        <v>77</v>
      </c>
      <c r="M448" t="s">
        <v>77</v>
      </c>
      <c r="N448">
        <v>11</v>
      </c>
      <c r="O448">
        <v>2021</v>
      </c>
      <c r="P448" s="57">
        <v>44501</v>
      </c>
    </row>
    <row r="449" spans="1:16" x14ac:dyDescent="0.35">
      <c r="A449" t="s">
        <v>92</v>
      </c>
      <c r="B449">
        <v>1</v>
      </c>
      <c r="C449">
        <v>1</v>
      </c>
      <c r="D449">
        <v>1</v>
      </c>
      <c r="E449">
        <v>1</v>
      </c>
      <c r="F449">
        <v>1</v>
      </c>
      <c r="G449" t="s">
        <v>37</v>
      </c>
      <c r="H449" t="s">
        <v>74</v>
      </c>
      <c r="I449" t="s">
        <v>79</v>
      </c>
      <c r="J449">
        <v>710209</v>
      </c>
      <c r="K449" t="s">
        <v>76</v>
      </c>
      <c r="L449" t="s">
        <v>77</v>
      </c>
      <c r="M449" t="s">
        <v>77</v>
      </c>
      <c r="N449">
        <v>11</v>
      </c>
      <c r="O449">
        <v>2021</v>
      </c>
      <c r="P449" s="57">
        <v>44501</v>
      </c>
    </row>
    <row r="450" spans="1:16" x14ac:dyDescent="0.35">
      <c r="A450" t="s">
        <v>81</v>
      </c>
      <c r="B450">
        <v>3</v>
      </c>
      <c r="C450">
        <v>3</v>
      </c>
      <c r="D450">
        <v>3</v>
      </c>
      <c r="E450">
        <v>3</v>
      </c>
      <c r="F450">
        <v>2</v>
      </c>
      <c r="G450" t="s">
        <v>37</v>
      </c>
      <c r="H450" t="s">
        <v>74</v>
      </c>
      <c r="I450" t="s">
        <v>79</v>
      </c>
      <c r="J450">
        <v>710209</v>
      </c>
      <c r="K450" t="s">
        <v>76</v>
      </c>
      <c r="L450" t="s">
        <v>77</v>
      </c>
      <c r="M450" t="s">
        <v>77</v>
      </c>
      <c r="N450">
        <v>11</v>
      </c>
      <c r="O450">
        <v>2021</v>
      </c>
      <c r="P450" s="57">
        <v>44501</v>
      </c>
    </row>
    <row r="451" spans="1:16" x14ac:dyDescent="0.35">
      <c r="A451" t="s">
        <v>81</v>
      </c>
      <c r="B451">
        <v>1</v>
      </c>
      <c r="C451">
        <v>1</v>
      </c>
      <c r="D451">
        <v>1</v>
      </c>
      <c r="E451">
        <v>1</v>
      </c>
      <c r="F451">
        <v>1</v>
      </c>
      <c r="G451" t="s">
        <v>42</v>
      </c>
      <c r="H451" t="s">
        <v>74</v>
      </c>
      <c r="I451" t="s">
        <v>79</v>
      </c>
      <c r="J451">
        <v>710209</v>
      </c>
      <c r="K451" t="s">
        <v>76</v>
      </c>
      <c r="L451" t="s">
        <v>77</v>
      </c>
      <c r="M451" t="s">
        <v>77</v>
      </c>
      <c r="N451">
        <v>11</v>
      </c>
      <c r="O451">
        <v>2021</v>
      </c>
      <c r="P451" s="57">
        <v>44501</v>
      </c>
    </row>
    <row r="452" spans="1:16" x14ac:dyDescent="0.35">
      <c r="A452" t="s">
        <v>82</v>
      </c>
      <c r="B452">
        <v>1</v>
      </c>
      <c r="C452">
        <v>1</v>
      </c>
      <c r="D452">
        <v>1</v>
      </c>
      <c r="E452">
        <v>1</v>
      </c>
      <c r="F452">
        <v>1</v>
      </c>
      <c r="G452" t="s">
        <v>42</v>
      </c>
      <c r="H452" t="s">
        <v>83</v>
      </c>
      <c r="I452" t="s">
        <v>79</v>
      </c>
      <c r="J452">
        <v>710209</v>
      </c>
      <c r="K452" t="s">
        <v>76</v>
      </c>
      <c r="L452" t="s">
        <v>77</v>
      </c>
      <c r="M452" t="s">
        <v>77</v>
      </c>
      <c r="N452">
        <v>11</v>
      </c>
      <c r="O452">
        <v>2021</v>
      </c>
      <c r="P452" s="57">
        <v>44501</v>
      </c>
    </row>
    <row r="453" spans="1:16" x14ac:dyDescent="0.35">
      <c r="A453" t="s">
        <v>82</v>
      </c>
      <c r="B453">
        <v>5</v>
      </c>
      <c r="C453">
        <v>6</v>
      </c>
      <c r="D453">
        <v>6</v>
      </c>
      <c r="E453">
        <v>5</v>
      </c>
      <c r="F453">
        <v>4</v>
      </c>
      <c r="G453" t="s">
        <v>37</v>
      </c>
      <c r="H453" t="s">
        <v>83</v>
      </c>
      <c r="I453" t="s">
        <v>79</v>
      </c>
      <c r="J453">
        <v>710209</v>
      </c>
      <c r="K453" t="s">
        <v>76</v>
      </c>
      <c r="L453" t="s">
        <v>77</v>
      </c>
      <c r="M453" t="s">
        <v>77</v>
      </c>
      <c r="N453">
        <v>11</v>
      </c>
      <c r="O453">
        <v>2021</v>
      </c>
      <c r="P453" s="57">
        <v>44501</v>
      </c>
    </row>
    <row r="454" spans="1:16" x14ac:dyDescent="0.35">
      <c r="A454" t="s">
        <v>94</v>
      </c>
      <c r="B454">
        <v>1</v>
      </c>
      <c r="C454">
        <v>1</v>
      </c>
      <c r="D454">
        <v>1</v>
      </c>
      <c r="E454">
        <v>1</v>
      </c>
      <c r="F454">
        <v>1</v>
      </c>
      <c r="G454" t="s">
        <v>42</v>
      </c>
      <c r="H454" t="s">
        <v>74</v>
      </c>
      <c r="I454" t="s">
        <v>95</v>
      </c>
      <c r="J454">
        <v>750318</v>
      </c>
      <c r="K454" t="s">
        <v>76</v>
      </c>
      <c r="L454" t="s">
        <v>77</v>
      </c>
      <c r="M454" t="s">
        <v>77</v>
      </c>
      <c r="N454">
        <v>11</v>
      </c>
      <c r="O454">
        <v>2021</v>
      </c>
      <c r="P454" s="57">
        <v>44501</v>
      </c>
    </row>
    <row r="455" spans="1:16" x14ac:dyDescent="0.35">
      <c r="A455" t="s">
        <v>84</v>
      </c>
      <c r="B455">
        <v>1</v>
      </c>
      <c r="C455">
        <v>1</v>
      </c>
      <c r="D455">
        <v>1</v>
      </c>
      <c r="E455">
        <v>1</v>
      </c>
      <c r="F455">
        <v>1</v>
      </c>
      <c r="G455" t="s">
        <v>42</v>
      </c>
      <c r="H455" t="s">
        <v>74</v>
      </c>
      <c r="I455" t="s">
        <v>85</v>
      </c>
      <c r="J455">
        <v>555141</v>
      </c>
      <c r="K455" t="s">
        <v>76</v>
      </c>
      <c r="L455" t="s">
        <v>77</v>
      </c>
      <c r="M455" t="s">
        <v>77</v>
      </c>
      <c r="N455">
        <v>11</v>
      </c>
      <c r="O455">
        <v>2021</v>
      </c>
      <c r="P455" s="57">
        <v>44501</v>
      </c>
    </row>
    <row r="456" spans="1:16" x14ac:dyDescent="0.35">
      <c r="A456" t="s">
        <v>123</v>
      </c>
      <c r="B456">
        <v>1</v>
      </c>
      <c r="C456">
        <v>1</v>
      </c>
      <c r="D456">
        <v>1</v>
      </c>
      <c r="E456">
        <v>1</v>
      </c>
      <c r="F456">
        <v>1</v>
      </c>
      <c r="G456" t="s">
        <v>42</v>
      </c>
      <c r="H456" t="s">
        <v>124</v>
      </c>
      <c r="I456" t="s">
        <v>85</v>
      </c>
      <c r="J456">
        <v>555141</v>
      </c>
      <c r="K456" t="s">
        <v>76</v>
      </c>
      <c r="L456" t="s">
        <v>77</v>
      </c>
      <c r="M456" t="s">
        <v>77</v>
      </c>
      <c r="N456">
        <v>11</v>
      </c>
      <c r="O456">
        <v>2021</v>
      </c>
      <c r="P456" s="57">
        <v>44501</v>
      </c>
    </row>
    <row r="457" spans="1:16" x14ac:dyDescent="0.35">
      <c r="A457" t="s">
        <v>97</v>
      </c>
      <c r="B457">
        <v>1</v>
      </c>
      <c r="C457">
        <v>1</v>
      </c>
      <c r="D457">
        <v>1</v>
      </c>
      <c r="E457">
        <v>1</v>
      </c>
      <c r="F457">
        <v>1</v>
      </c>
      <c r="G457" t="s">
        <v>42</v>
      </c>
      <c r="I457" t="s">
        <v>97</v>
      </c>
      <c r="J457">
        <v>639813</v>
      </c>
      <c r="K457" t="s">
        <v>76</v>
      </c>
      <c r="L457" t="s">
        <v>77</v>
      </c>
      <c r="M457" t="s">
        <v>77</v>
      </c>
      <c r="N457">
        <v>11</v>
      </c>
      <c r="O457">
        <v>2021</v>
      </c>
      <c r="P457" s="57">
        <v>44501</v>
      </c>
    </row>
    <row r="458" spans="1:16" x14ac:dyDescent="0.35">
      <c r="A458" t="s">
        <v>86</v>
      </c>
      <c r="B458">
        <v>2</v>
      </c>
      <c r="C458">
        <v>4</v>
      </c>
      <c r="D458">
        <v>4</v>
      </c>
      <c r="E458">
        <v>2</v>
      </c>
      <c r="F458">
        <v>2</v>
      </c>
      <c r="G458" t="s">
        <v>42</v>
      </c>
      <c r="H458" t="s">
        <v>87</v>
      </c>
      <c r="I458" t="s">
        <v>79</v>
      </c>
      <c r="J458">
        <v>710209</v>
      </c>
      <c r="K458" t="s">
        <v>76</v>
      </c>
      <c r="L458" t="s">
        <v>77</v>
      </c>
      <c r="M458" t="s">
        <v>77</v>
      </c>
      <c r="N458">
        <v>11</v>
      </c>
      <c r="O458">
        <v>2021</v>
      </c>
      <c r="P458" s="57">
        <v>44501</v>
      </c>
    </row>
    <row r="459" spans="1:16" x14ac:dyDescent="0.35">
      <c r="A459" t="s">
        <v>86</v>
      </c>
      <c r="B459">
        <v>1</v>
      </c>
      <c r="C459">
        <v>1</v>
      </c>
      <c r="D459">
        <v>1</v>
      </c>
      <c r="E459">
        <v>1</v>
      </c>
      <c r="F459">
        <v>1</v>
      </c>
      <c r="G459" t="s">
        <v>37</v>
      </c>
      <c r="H459" t="s">
        <v>87</v>
      </c>
      <c r="I459" t="s">
        <v>79</v>
      </c>
      <c r="J459">
        <v>710209</v>
      </c>
      <c r="K459" t="s">
        <v>76</v>
      </c>
      <c r="L459" t="s">
        <v>77</v>
      </c>
      <c r="M459" t="s">
        <v>77</v>
      </c>
      <c r="N459">
        <v>11</v>
      </c>
      <c r="O459">
        <v>2021</v>
      </c>
      <c r="P459" s="57">
        <v>44501</v>
      </c>
    </row>
    <row r="460" spans="1:16" x14ac:dyDescent="0.35">
      <c r="A460" t="s">
        <v>88</v>
      </c>
      <c r="B460">
        <v>2</v>
      </c>
      <c r="C460">
        <v>4</v>
      </c>
      <c r="D460">
        <v>4</v>
      </c>
      <c r="E460">
        <v>2</v>
      </c>
      <c r="F460">
        <v>1</v>
      </c>
      <c r="G460" t="s">
        <v>37</v>
      </c>
      <c r="H460" t="s">
        <v>74</v>
      </c>
      <c r="I460" t="s">
        <v>79</v>
      </c>
      <c r="J460">
        <v>710209</v>
      </c>
      <c r="K460" t="s">
        <v>76</v>
      </c>
      <c r="L460" t="s">
        <v>77</v>
      </c>
      <c r="M460" t="s">
        <v>77</v>
      </c>
      <c r="N460">
        <v>11</v>
      </c>
      <c r="O460">
        <v>2021</v>
      </c>
      <c r="P460" s="57">
        <v>44501</v>
      </c>
    </row>
    <row r="461" spans="1:16" x14ac:dyDescent="0.35">
      <c r="A461" t="s">
        <v>78</v>
      </c>
      <c r="B461">
        <v>8</v>
      </c>
      <c r="C461">
        <v>15</v>
      </c>
      <c r="D461">
        <v>15</v>
      </c>
      <c r="E461">
        <v>8</v>
      </c>
      <c r="F461">
        <v>3</v>
      </c>
      <c r="G461" t="s">
        <v>37</v>
      </c>
      <c r="H461" t="s">
        <v>74</v>
      </c>
      <c r="I461" t="s">
        <v>93</v>
      </c>
      <c r="J461">
        <v>710209</v>
      </c>
      <c r="K461" t="s">
        <v>76</v>
      </c>
      <c r="L461" t="s">
        <v>77</v>
      </c>
      <c r="M461" t="s">
        <v>77</v>
      </c>
      <c r="N461">
        <v>11</v>
      </c>
      <c r="O461">
        <v>2022</v>
      </c>
      <c r="P461" s="57">
        <v>44866</v>
      </c>
    </row>
    <row r="462" spans="1:16" x14ac:dyDescent="0.35">
      <c r="A462" t="s">
        <v>80</v>
      </c>
      <c r="B462">
        <v>1</v>
      </c>
      <c r="C462">
        <v>1</v>
      </c>
      <c r="D462">
        <v>1</v>
      </c>
      <c r="E462">
        <v>1</v>
      </c>
      <c r="F462">
        <v>1</v>
      </c>
      <c r="G462" t="s">
        <v>40</v>
      </c>
      <c r="H462" t="s">
        <v>74</v>
      </c>
      <c r="I462" t="s">
        <v>93</v>
      </c>
      <c r="J462">
        <v>710209</v>
      </c>
      <c r="K462" t="s">
        <v>76</v>
      </c>
      <c r="L462" t="s">
        <v>77</v>
      </c>
      <c r="M462" t="s">
        <v>77</v>
      </c>
      <c r="N462">
        <v>11</v>
      </c>
      <c r="O462">
        <v>2022</v>
      </c>
      <c r="P462" s="57">
        <v>44866</v>
      </c>
    </row>
    <row r="463" spans="1:16" x14ac:dyDescent="0.35">
      <c r="A463" t="s">
        <v>81</v>
      </c>
      <c r="B463">
        <v>3</v>
      </c>
      <c r="C463">
        <v>8</v>
      </c>
      <c r="D463">
        <v>10</v>
      </c>
      <c r="E463">
        <v>4</v>
      </c>
      <c r="F463">
        <v>2</v>
      </c>
      <c r="G463" t="s">
        <v>37</v>
      </c>
      <c r="H463" t="s">
        <v>74</v>
      </c>
      <c r="I463" t="s">
        <v>93</v>
      </c>
      <c r="J463">
        <v>710209</v>
      </c>
      <c r="K463" t="s">
        <v>76</v>
      </c>
      <c r="L463" t="s">
        <v>77</v>
      </c>
      <c r="M463" t="s">
        <v>77</v>
      </c>
      <c r="N463">
        <v>11</v>
      </c>
      <c r="O463">
        <v>2022</v>
      </c>
      <c r="P463" s="57">
        <v>44866</v>
      </c>
    </row>
    <row r="464" spans="1:16" x14ac:dyDescent="0.35">
      <c r="A464" t="s">
        <v>81</v>
      </c>
      <c r="B464">
        <v>1</v>
      </c>
      <c r="C464">
        <v>1</v>
      </c>
      <c r="D464">
        <v>1</v>
      </c>
      <c r="E464">
        <v>1</v>
      </c>
      <c r="F464">
        <v>1</v>
      </c>
      <c r="G464" t="s">
        <v>42</v>
      </c>
      <c r="H464" t="s">
        <v>74</v>
      </c>
      <c r="I464" t="s">
        <v>93</v>
      </c>
      <c r="J464">
        <v>710209</v>
      </c>
      <c r="K464" t="s">
        <v>76</v>
      </c>
      <c r="L464" t="s">
        <v>77</v>
      </c>
      <c r="M464" t="s">
        <v>77</v>
      </c>
      <c r="N464">
        <v>11</v>
      </c>
      <c r="O464">
        <v>2022</v>
      </c>
      <c r="P464" s="57">
        <v>44866</v>
      </c>
    </row>
    <row r="465" spans="1:16" x14ac:dyDescent="0.35">
      <c r="A465" t="s">
        <v>82</v>
      </c>
      <c r="B465">
        <v>2</v>
      </c>
      <c r="C465">
        <v>10</v>
      </c>
      <c r="D465">
        <v>11</v>
      </c>
      <c r="E465">
        <v>3</v>
      </c>
      <c r="F465">
        <v>1</v>
      </c>
      <c r="G465" t="s">
        <v>37</v>
      </c>
      <c r="H465" t="s">
        <v>83</v>
      </c>
      <c r="I465" t="s">
        <v>93</v>
      </c>
      <c r="J465">
        <v>710209</v>
      </c>
      <c r="K465" t="s">
        <v>76</v>
      </c>
      <c r="L465" t="s">
        <v>77</v>
      </c>
      <c r="M465" t="s">
        <v>77</v>
      </c>
      <c r="N465">
        <v>11</v>
      </c>
      <c r="O465">
        <v>2022</v>
      </c>
      <c r="P465" s="57">
        <v>44866</v>
      </c>
    </row>
    <row r="466" spans="1:16" x14ac:dyDescent="0.35">
      <c r="A466" t="s">
        <v>82</v>
      </c>
      <c r="B466">
        <v>1</v>
      </c>
      <c r="C466">
        <v>1</v>
      </c>
      <c r="D466">
        <v>1</v>
      </c>
      <c r="E466">
        <v>1</v>
      </c>
      <c r="F466">
        <v>1</v>
      </c>
      <c r="G466" t="s">
        <v>40</v>
      </c>
      <c r="H466" t="s">
        <v>83</v>
      </c>
      <c r="I466" t="s">
        <v>93</v>
      </c>
      <c r="J466">
        <v>710209</v>
      </c>
      <c r="K466" t="s">
        <v>76</v>
      </c>
      <c r="L466" t="s">
        <v>77</v>
      </c>
      <c r="M466" t="s">
        <v>77</v>
      </c>
      <c r="N466">
        <v>11</v>
      </c>
      <c r="O466">
        <v>2022</v>
      </c>
      <c r="P466" s="57">
        <v>44866</v>
      </c>
    </row>
    <row r="467" spans="1:16" x14ac:dyDescent="0.35">
      <c r="A467" t="s">
        <v>94</v>
      </c>
      <c r="B467">
        <v>1</v>
      </c>
      <c r="C467">
        <v>3</v>
      </c>
      <c r="D467">
        <v>3</v>
      </c>
      <c r="E467">
        <v>1</v>
      </c>
      <c r="F467">
        <v>1</v>
      </c>
      <c r="G467" t="s">
        <v>42</v>
      </c>
      <c r="H467" t="s">
        <v>74</v>
      </c>
      <c r="I467" t="s">
        <v>95</v>
      </c>
      <c r="J467">
        <v>750318</v>
      </c>
      <c r="K467" t="s">
        <v>76</v>
      </c>
      <c r="L467" t="s">
        <v>77</v>
      </c>
      <c r="M467" t="s">
        <v>77</v>
      </c>
      <c r="N467">
        <v>11</v>
      </c>
      <c r="O467">
        <v>2022</v>
      </c>
      <c r="P467" s="57">
        <v>44866</v>
      </c>
    </row>
    <row r="468" spans="1:16" x14ac:dyDescent="0.35">
      <c r="A468" t="s">
        <v>94</v>
      </c>
      <c r="B468">
        <v>1</v>
      </c>
      <c r="C468">
        <v>1</v>
      </c>
      <c r="D468">
        <v>1</v>
      </c>
      <c r="E468">
        <v>1</v>
      </c>
      <c r="F468">
        <v>1</v>
      </c>
      <c r="G468" t="s">
        <v>37</v>
      </c>
      <c r="H468" t="s">
        <v>74</v>
      </c>
      <c r="I468" t="s">
        <v>95</v>
      </c>
      <c r="J468">
        <v>750318</v>
      </c>
      <c r="K468" t="s">
        <v>76</v>
      </c>
      <c r="L468" t="s">
        <v>77</v>
      </c>
      <c r="M468" t="s">
        <v>77</v>
      </c>
      <c r="N468">
        <v>11</v>
      </c>
      <c r="O468">
        <v>2022</v>
      </c>
      <c r="P468" s="57">
        <v>44866</v>
      </c>
    </row>
    <row r="469" spans="1:16" x14ac:dyDescent="0.35">
      <c r="A469" t="s">
        <v>86</v>
      </c>
      <c r="B469">
        <v>1</v>
      </c>
      <c r="C469">
        <v>1</v>
      </c>
      <c r="D469">
        <v>1</v>
      </c>
      <c r="E469">
        <v>1</v>
      </c>
      <c r="F469">
        <v>1</v>
      </c>
      <c r="G469" t="s">
        <v>37</v>
      </c>
      <c r="H469" t="s">
        <v>87</v>
      </c>
      <c r="I469" t="s">
        <v>93</v>
      </c>
      <c r="J469">
        <v>710209</v>
      </c>
      <c r="K469" t="s">
        <v>76</v>
      </c>
      <c r="L469" t="s">
        <v>77</v>
      </c>
      <c r="M469" t="s">
        <v>77</v>
      </c>
      <c r="N469">
        <v>11</v>
      </c>
      <c r="O469">
        <v>2022</v>
      </c>
      <c r="P469" s="57">
        <v>44866</v>
      </c>
    </row>
    <row r="470" spans="1:16" x14ac:dyDescent="0.35">
      <c r="A470" t="s">
        <v>78</v>
      </c>
      <c r="B470">
        <v>5</v>
      </c>
      <c r="C470">
        <v>15</v>
      </c>
      <c r="D470">
        <v>15</v>
      </c>
      <c r="E470">
        <v>5</v>
      </c>
      <c r="F470">
        <v>1</v>
      </c>
      <c r="G470" t="s">
        <v>42</v>
      </c>
      <c r="H470" t="s">
        <v>74</v>
      </c>
      <c r="I470" t="s">
        <v>79</v>
      </c>
      <c r="J470">
        <v>710209</v>
      </c>
      <c r="K470" t="s">
        <v>76</v>
      </c>
      <c r="L470" t="s">
        <v>77</v>
      </c>
      <c r="M470" t="s">
        <v>77</v>
      </c>
      <c r="N470">
        <v>12</v>
      </c>
      <c r="O470">
        <v>2020</v>
      </c>
      <c r="P470" s="57">
        <v>44166</v>
      </c>
    </row>
    <row r="471" spans="1:16" x14ac:dyDescent="0.35">
      <c r="A471" t="s">
        <v>92</v>
      </c>
      <c r="B471">
        <v>3</v>
      </c>
      <c r="C471">
        <v>5</v>
      </c>
      <c r="D471">
        <v>5</v>
      </c>
      <c r="E471">
        <v>3</v>
      </c>
      <c r="F471">
        <v>3</v>
      </c>
      <c r="G471" t="s">
        <v>40</v>
      </c>
      <c r="H471" t="s">
        <v>74</v>
      </c>
      <c r="I471" t="s">
        <v>79</v>
      </c>
      <c r="J471">
        <v>710209</v>
      </c>
      <c r="K471" t="s">
        <v>76</v>
      </c>
      <c r="L471" t="s">
        <v>77</v>
      </c>
      <c r="M471" t="s">
        <v>77</v>
      </c>
      <c r="N471">
        <v>12</v>
      </c>
      <c r="O471">
        <v>2020</v>
      </c>
      <c r="P471" s="57">
        <v>44166</v>
      </c>
    </row>
    <row r="472" spans="1:16" x14ac:dyDescent="0.35">
      <c r="A472" t="s">
        <v>81</v>
      </c>
      <c r="B472">
        <v>6</v>
      </c>
      <c r="C472">
        <v>7</v>
      </c>
      <c r="D472">
        <v>7</v>
      </c>
      <c r="E472">
        <v>6</v>
      </c>
      <c r="F472">
        <v>2</v>
      </c>
      <c r="G472" t="s">
        <v>42</v>
      </c>
      <c r="H472" t="s">
        <v>74</v>
      </c>
      <c r="I472" t="s">
        <v>79</v>
      </c>
      <c r="J472">
        <v>710209</v>
      </c>
      <c r="K472" t="s">
        <v>76</v>
      </c>
      <c r="L472" t="s">
        <v>77</v>
      </c>
      <c r="M472" t="s">
        <v>77</v>
      </c>
      <c r="N472">
        <v>12</v>
      </c>
      <c r="O472">
        <v>2020</v>
      </c>
      <c r="P472" s="57">
        <v>44166</v>
      </c>
    </row>
    <row r="473" spans="1:16" x14ac:dyDescent="0.35">
      <c r="A473" t="s">
        <v>82</v>
      </c>
      <c r="B473">
        <v>4</v>
      </c>
      <c r="C473">
        <v>8</v>
      </c>
      <c r="D473">
        <v>8</v>
      </c>
      <c r="E473">
        <v>4</v>
      </c>
      <c r="F473">
        <v>1</v>
      </c>
      <c r="G473" t="s">
        <v>42</v>
      </c>
      <c r="H473" t="s">
        <v>83</v>
      </c>
      <c r="I473" t="s">
        <v>79</v>
      </c>
      <c r="J473">
        <v>710209</v>
      </c>
      <c r="K473" t="s">
        <v>76</v>
      </c>
      <c r="L473" t="s">
        <v>77</v>
      </c>
      <c r="M473" t="s">
        <v>77</v>
      </c>
      <c r="N473">
        <v>12</v>
      </c>
      <c r="O473">
        <v>2020</v>
      </c>
      <c r="P473" s="57">
        <v>44166</v>
      </c>
    </row>
    <row r="474" spans="1:16" x14ac:dyDescent="0.35">
      <c r="A474" t="s">
        <v>89</v>
      </c>
      <c r="B474">
        <v>1</v>
      </c>
      <c r="C474">
        <v>1</v>
      </c>
      <c r="D474">
        <v>2</v>
      </c>
      <c r="E474">
        <v>2</v>
      </c>
      <c r="F474">
        <v>1</v>
      </c>
      <c r="G474" t="s">
        <v>42</v>
      </c>
      <c r="H474" t="s">
        <v>87</v>
      </c>
      <c r="I474" t="s">
        <v>93</v>
      </c>
      <c r="J474">
        <v>710209</v>
      </c>
      <c r="K474" t="s">
        <v>76</v>
      </c>
      <c r="L474" t="s">
        <v>77</v>
      </c>
      <c r="M474" t="s">
        <v>77</v>
      </c>
      <c r="N474">
        <v>12</v>
      </c>
      <c r="O474">
        <v>2021</v>
      </c>
      <c r="P474" s="57">
        <v>44531</v>
      </c>
    </row>
    <row r="475" spans="1:16" x14ac:dyDescent="0.35">
      <c r="A475" t="s">
        <v>78</v>
      </c>
      <c r="B475">
        <v>4</v>
      </c>
      <c r="C475">
        <v>8</v>
      </c>
      <c r="D475">
        <v>9</v>
      </c>
      <c r="E475">
        <v>5</v>
      </c>
      <c r="F475">
        <v>3</v>
      </c>
      <c r="G475" t="s">
        <v>37</v>
      </c>
      <c r="H475" t="s">
        <v>74</v>
      </c>
      <c r="I475" t="s">
        <v>93</v>
      </c>
      <c r="J475">
        <v>710209</v>
      </c>
      <c r="K475" t="s">
        <v>76</v>
      </c>
      <c r="L475" t="s">
        <v>77</v>
      </c>
      <c r="M475" t="s">
        <v>77</v>
      </c>
      <c r="N475">
        <v>12</v>
      </c>
      <c r="O475">
        <v>2021</v>
      </c>
      <c r="P475" s="57">
        <v>44531</v>
      </c>
    </row>
    <row r="476" spans="1:16" x14ac:dyDescent="0.35">
      <c r="A476" t="s">
        <v>78</v>
      </c>
      <c r="B476">
        <v>1</v>
      </c>
      <c r="C476">
        <v>1</v>
      </c>
      <c r="D476">
        <v>1</v>
      </c>
      <c r="E476">
        <v>1</v>
      </c>
      <c r="F476">
        <v>1</v>
      </c>
      <c r="G476" t="s">
        <v>42</v>
      </c>
      <c r="H476" t="s">
        <v>74</v>
      </c>
      <c r="I476" t="s">
        <v>93</v>
      </c>
      <c r="J476">
        <v>710209</v>
      </c>
      <c r="K476" t="s">
        <v>76</v>
      </c>
      <c r="L476" t="s">
        <v>77</v>
      </c>
      <c r="M476" t="s">
        <v>77</v>
      </c>
      <c r="N476">
        <v>12</v>
      </c>
      <c r="O476">
        <v>2021</v>
      </c>
      <c r="P476" s="57">
        <v>44531</v>
      </c>
    </row>
    <row r="477" spans="1:16" x14ac:dyDescent="0.35">
      <c r="A477" t="s">
        <v>81</v>
      </c>
      <c r="B477">
        <v>2</v>
      </c>
      <c r="C477">
        <v>2</v>
      </c>
      <c r="D477">
        <v>2</v>
      </c>
      <c r="E477">
        <v>2</v>
      </c>
      <c r="F477">
        <v>1</v>
      </c>
      <c r="G477" t="s">
        <v>37</v>
      </c>
      <c r="H477" t="s">
        <v>74</v>
      </c>
      <c r="I477" t="s">
        <v>93</v>
      </c>
      <c r="J477">
        <v>710209</v>
      </c>
      <c r="K477" t="s">
        <v>76</v>
      </c>
      <c r="L477" t="s">
        <v>77</v>
      </c>
      <c r="M477" t="s">
        <v>77</v>
      </c>
      <c r="N477">
        <v>12</v>
      </c>
      <c r="O477">
        <v>2021</v>
      </c>
      <c r="P477" s="57">
        <v>44531</v>
      </c>
    </row>
    <row r="478" spans="1:16" x14ac:dyDescent="0.35">
      <c r="A478" t="s">
        <v>81</v>
      </c>
      <c r="B478">
        <v>1</v>
      </c>
      <c r="C478">
        <v>1</v>
      </c>
      <c r="D478">
        <v>1</v>
      </c>
      <c r="E478">
        <v>1</v>
      </c>
      <c r="F478">
        <v>1</v>
      </c>
      <c r="G478" t="s">
        <v>42</v>
      </c>
      <c r="H478" t="s">
        <v>74</v>
      </c>
      <c r="I478" t="s">
        <v>93</v>
      </c>
      <c r="J478">
        <v>710209</v>
      </c>
      <c r="K478" t="s">
        <v>76</v>
      </c>
      <c r="L478" t="s">
        <v>77</v>
      </c>
      <c r="M478" t="s">
        <v>77</v>
      </c>
      <c r="N478">
        <v>12</v>
      </c>
      <c r="O478">
        <v>2021</v>
      </c>
      <c r="P478" s="57">
        <v>44531</v>
      </c>
    </row>
    <row r="479" spans="1:16" x14ac:dyDescent="0.35">
      <c r="A479" t="s">
        <v>82</v>
      </c>
      <c r="B479">
        <v>1</v>
      </c>
      <c r="C479">
        <v>1</v>
      </c>
      <c r="D479">
        <v>1</v>
      </c>
      <c r="E479">
        <v>1</v>
      </c>
      <c r="F479">
        <v>1</v>
      </c>
      <c r="G479" t="s">
        <v>40</v>
      </c>
      <c r="H479" t="s">
        <v>83</v>
      </c>
      <c r="I479" t="s">
        <v>93</v>
      </c>
      <c r="J479">
        <v>710209</v>
      </c>
      <c r="K479" t="s">
        <v>76</v>
      </c>
      <c r="L479" t="s">
        <v>77</v>
      </c>
      <c r="M479" t="s">
        <v>77</v>
      </c>
      <c r="N479">
        <v>12</v>
      </c>
      <c r="O479">
        <v>2021</v>
      </c>
      <c r="P479" s="57">
        <v>44531</v>
      </c>
    </row>
    <row r="480" spans="1:16" x14ac:dyDescent="0.35">
      <c r="A480" t="s">
        <v>82</v>
      </c>
      <c r="B480">
        <v>1</v>
      </c>
      <c r="C480">
        <v>1</v>
      </c>
      <c r="D480">
        <v>1</v>
      </c>
      <c r="E480">
        <v>1</v>
      </c>
      <c r="F480">
        <v>1</v>
      </c>
      <c r="G480" t="s">
        <v>40</v>
      </c>
      <c r="H480" t="s">
        <v>83</v>
      </c>
      <c r="I480" t="s">
        <v>93</v>
      </c>
      <c r="J480">
        <v>710209</v>
      </c>
      <c r="K480" t="s">
        <v>76</v>
      </c>
      <c r="L480" t="s">
        <v>77</v>
      </c>
      <c r="M480" t="s">
        <v>77</v>
      </c>
      <c r="N480">
        <v>12</v>
      </c>
      <c r="O480">
        <v>2021</v>
      </c>
      <c r="P480" s="57">
        <v>44531</v>
      </c>
    </row>
    <row r="481" spans="1:16" x14ac:dyDescent="0.35">
      <c r="A481" t="s">
        <v>82</v>
      </c>
      <c r="B481">
        <v>1</v>
      </c>
      <c r="C481">
        <v>3</v>
      </c>
      <c r="D481">
        <v>3</v>
      </c>
      <c r="E481">
        <v>1</v>
      </c>
      <c r="F481">
        <v>1</v>
      </c>
      <c r="G481" t="s">
        <v>37</v>
      </c>
      <c r="H481" t="s">
        <v>83</v>
      </c>
      <c r="I481" t="s">
        <v>93</v>
      </c>
      <c r="J481">
        <v>710209</v>
      </c>
      <c r="K481" t="s">
        <v>76</v>
      </c>
      <c r="L481" t="s">
        <v>77</v>
      </c>
      <c r="M481" t="s">
        <v>77</v>
      </c>
      <c r="N481">
        <v>12</v>
      </c>
      <c r="O481">
        <v>2021</v>
      </c>
      <c r="P481" s="57">
        <v>44531</v>
      </c>
    </row>
    <row r="482" spans="1:16" x14ac:dyDescent="0.35">
      <c r="A482" t="s">
        <v>96</v>
      </c>
      <c r="B482">
        <v>1</v>
      </c>
      <c r="C482">
        <v>1</v>
      </c>
      <c r="D482">
        <v>1</v>
      </c>
      <c r="E482">
        <v>1</v>
      </c>
      <c r="F482">
        <v>1</v>
      </c>
      <c r="G482" t="s">
        <v>40</v>
      </c>
      <c r="H482" t="s">
        <v>74</v>
      </c>
      <c r="I482" t="s">
        <v>85</v>
      </c>
      <c r="J482">
        <v>555141</v>
      </c>
      <c r="K482" t="s">
        <v>76</v>
      </c>
      <c r="L482" t="s">
        <v>77</v>
      </c>
      <c r="M482" t="s">
        <v>77</v>
      </c>
      <c r="N482">
        <v>12</v>
      </c>
      <c r="O482">
        <v>2021</v>
      </c>
      <c r="P482" s="57">
        <v>44531</v>
      </c>
    </row>
    <row r="483" spans="1:16" x14ac:dyDescent="0.35">
      <c r="A483" t="s">
        <v>97</v>
      </c>
      <c r="B483">
        <v>3</v>
      </c>
      <c r="C483">
        <v>3</v>
      </c>
      <c r="D483">
        <v>3</v>
      </c>
      <c r="E483">
        <v>3</v>
      </c>
      <c r="F483">
        <v>3</v>
      </c>
      <c r="G483" t="s">
        <v>42</v>
      </c>
      <c r="I483" t="s">
        <v>97</v>
      </c>
      <c r="J483">
        <v>639813</v>
      </c>
      <c r="K483" t="s">
        <v>76</v>
      </c>
      <c r="L483" t="s">
        <v>77</v>
      </c>
      <c r="M483" t="s">
        <v>77</v>
      </c>
      <c r="N483">
        <v>12</v>
      </c>
      <c r="O483">
        <v>2021</v>
      </c>
      <c r="P483" s="57">
        <v>44531</v>
      </c>
    </row>
    <row r="484" spans="1:16" x14ac:dyDescent="0.35">
      <c r="A484" t="s">
        <v>86</v>
      </c>
      <c r="B484">
        <v>2</v>
      </c>
      <c r="C484">
        <v>4</v>
      </c>
      <c r="D484">
        <v>4</v>
      </c>
      <c r="E484">
        <v>2</v>
      </c>
      <c r="F484">
        <v>2</v>
      </c>
      <c r="G484" t="s">
        <v>37</v>
      </c>
      <c r="H484" t="s">
        <v>87</v>
      </c>
      <c r="I484" t="s">
        <v>93</v>
      </c>
      <c r="J484">
        <v>710209</v>
      </c>
      <c r="K484" t="s">
        <v>76</v>
      </c>
      <c r="L484" t="s">
        <v>77</v>
      </c>
      <c r="M484" t="s">
        <v>77</v>
      </c>
      <c r="N484">
        <v>12</v>
      </c>
      <c r="O484">
        <v>2021</v>
      </c>
      <c r="P484" s="57">
        <v>44531</v>
      </c>
    </row>
    <row r="485" spans="1:16" x14ac:dyDescent="0.35">
      <c r="A485" t="s">
        <v>86</v>
      </c>
      <c r="B485">
        <v>2</v>
      </c>
      <c r="C485">
        <v>4</v>
      </c>
      <c r="D485">
        <v>4</v>
      </c>
      <c r="E485">
        <v>2</v>
      </c>
      <c r="F485">
        <v>2</v>
      </c>
      <c r="G485" t="s">
        <v>42</v>
      </c>
      <c r="H485" t="s">
        <v>87</v>
      </c>
      <c r="I485" t="s">
        <v>93</v>
      </c>
      <c r="J485">
        <v>710209</v>
      </c>
      <c r="K485" t="s">
        <v>76</v>
      </c>
      <c r="L485" t="s">
        <v>77</v>
      </c>
      <c r="M485" t="s">
        <v>77</v>
      </c>
      <c r="N485">
        <v>12</v>
      </c>
      <c r="O485">
        <v>2021</v>
      </c>
      <c r="P485" s="57">
        <v>44531</v>
      </c>
    </row>
    <row r="486" spans="1:16" x14ac:dyDescent="0.35">
      <c r="A486" t="s">
        <v>78</v>
      </c>
      <c r="B486">
        <v>1</v>
      </c>
      <c r="C486">
        <v>1</v>
      </c>
      <c r="D486">
        <v>1</v>
      </c>
      <c r="E486">
        <v>1</v>
      </c>
      <c r="F486">
        <v>1</v>
      </c>
      <c r="G486" t="s">
        <v>42</v>
      </c>
      <c r="H486" t="s">
        <v>74</v>
      </c>
      <c r="I486" t="s">
        <v>98</v>
      </c>
      <c r="J486">
        <v>710209</v>
      </c>
      <c r="K486" t="s">
        <v>76</v>
      </c>
      <c r="L486" t="s">
        <v>77</v>
      </c>
      <c r="M486" t="s">
        <v>77</v>
      </c>
      <c r="N486">
        <v>12</v>
      </c>
      <c r="O486">
        <v>2022</v>
      </c>
      <c r="P486" s="57">
        <v>44896</v>
      </c>
    </row>
    <row r="487" spans="1:16" x14ac:dyDescent="0.35">
      <c r="A487" t="s">
        <v>78</v>
      </c>
      <c r="B487">
        <v>4</v>
      </c>
      <c r="C487">
        <v>8</v>
      </c>
      <c r="D487">
        <v>8</v>
      </c>
      <c r="E487">
        <v>4</v>
      </c>
      <c r="F487">
        <v>4</v>
      </c>
      <c r="G487" t="s">
        <v>37</v>
      </c>
      <c r="H487" t="s">
        <v>74</v>
      </c>
      <c r="I487" t="s">
        <v>98</v>
      </c>
      <c r="J487">
        <v>710209</v>
      </c>
      <c r="K487" t="s">
        <v>76</v>
      </c>
      <c r="L487" t="s">
        <v>77</v>
      </c>
      <c r="M487" t="s">
        <v>77</v>
      </c>
      <c r="N487">
        <v>12</v>
      </c>
      <c r="O487">
        <v>2022</v>
      </c>
      <c r="P487" s="57">
        <v>44896</v>
      </c>
    </row>
    <row r="488" spans="1:16" x14ac:dyDescent="0.35">
      <c r="A488" t="s">
        <v>78</v>
      </c>
      <c r="B488">
        <v>1</v>
      </c>
      <c r="C488">
        <v>1</v>
      </c>
      <c r="D488">
        <v>1</v>
      </c>
      <c r="E488">
        <v>1</v>
      </c>
      <c r="F488">
        <v>1</v>
      </c>
      <c r="G488" t="s">
        <v>42</v>
      </c>
      <c r="H488" t="s">
        <v>74</v>
      </c>
      <c r="I488" t="s">
        <v>98</v>
      </c>
      <c r="J488">
        <v>710209</v>
      </c>
      <c r="K488" t="s">
        <v>76</v>
      </c>
      <c r="L488" t="s">
        <v>77</v>
      </c>
      <c r="M488" t="s">
        <v>77</v>
      </c>
      <c r="N488">
        <v>12</v>
      </c>
      <c r="O488">
        <v>2022</v>
      </c>
      <c r="P488" s="57">
        <v>44896</v>
      </c>
    </row>
    <row r="489" spans="1:16" x14ac:dyDescent="0.35">
      <c r="A489" t="s">
        <v>80</v>
      </c>
      <c r="B489">
        <v>1</v>
      </c>
      <c r="C489">
        <v>1</v>
      </c>
      <c r="D489">
        <v>1</v>
      </c>
      <c r="E489">
        <v>1</v>
      </c>
      <c r="F489">
        <v>1</v>
      </c>
      <c r="G489" t="s">
        <v>40</v>
      </c>
      <c r="H489" t="s">
        <v>74</v>
      </c>
      <c r="I489" t="s">
        <v>98</v>
      </c>
      <c r="J489">
        <v>710209</v>
      </c>
      <c r="K489" t="s">
        <v>76</v>
      </c>
      <c r="L489" t="s">
        <v>77</v>
      </c>
      <c r="M489" t="s">
        <v>77</v>
      </c>
      <c r="N489">
        <v>12</v>
      </c>
      <c r="O489">
        <v>2022</v>
      </c>
      <c r="P489" s="57">
        <v>44896</v>
      </c>
    </row>
    <row r="490" spans="1:16" x14ac:dyDescent="0.35">
      <c r="A490" t="s">
        <v>80</v>
      </c>
      <c r="B490">
        <v>1</v>
      </c>
      <c r="C490">
        <v>2</v>
      </c>
      <c r="D490">
        <v>2</v>
      </c>
      <c r="E490">
        <v>1</v>
      </c>
      <c r="F490">
        <v>1</v>
      </c>
      <c r="G490" t="s">
        <v>37</v>
      </c>
      <c r="H490" t="s">
        <v>74</v>
      </c>
      <c r="I490" t="s">
        <v>98</v>
      </c>
      <c r="J490">
        <v>710209</v>
      </c>
      <c r="K490" t="s">
        <v>76</v>
      </c>
      <c r="L490" t="s">
        <v>77</v>
      </c>
      <c r="M490" t="s">
        <v>77</v>
      </c>
      <c r="N490">
        <v>12</v>
      </c>
      <c r="O490">
        <v>2022</v>
      </c>
      <c r="P490" s="57">
        <v>44896</v>
      </c>
    </row>
    <row r="491" spans="1:16" x14ac:dyDescent="0.35">
      <c r="A491" t="s">
        <v>82</v>
      </c>
      <c r="B491">
        <v>1</v>
      </c>
      <c r="C491">
        <v>1</v>
      </c>
      <c r="D491">
        <v>1</v>
      </c>
      <c r="E491">
        <v>1</v>
      </c>
      <c r="F491">
        <v>1</v>
      </c>
      <c r="G491" t="s">
        <v>42</v>
      </c>
      <c r="H491" t="s">
        <v>83</v>
      </c>
      <c r="I491" t="s">
        <v>98</v>
      </c>
      <c r="J491">
        <v>710209</v>
      </c>
      <c r="K491" t="s">
        <v>76</v>
      </c>
      <c r="L491" t="s">
        <v>77</v>
      </c>
      <c r="M491" t="s">
        <v>77</v>
      </c>
      <c r="N491">
        <v>12</v>
      </c>
      <c r="O491">
        <v>2022</v>
      </c>
      <c r="P491" s="57">
        <v>44896</v>
      </c>
    </row>
    <row r="492" spans="1:16" x14ac:dyDescent="0.35">
      <c r="A492" t="s">
        <v>94</v>
      </c>
      <c r="B492">
        <v>2</v>
      </c>
      <c r="C492">
        <v>2</v>
      </c>
      <c r="D492">
        <v>2</v>
      </c>
      <c r="E492">
        <v>2</v>
      </c>
      <c r="F492">
        <v>1</v>
      </c>
      <c r="G492" t="s">
        <v>37</v>
      </c>
      <c r="H492" t="s">
        <v>74</v>
      </c>
      <c r="I492" t="s">
        <v>95</v>
      </c>
      <c r="J492">
        <v>750318</v>
      </c>
      <c r="K492" t="s">
        <v>76</v>
      </c>
      <c r="L492" t="s">
        <v>77</v>
      </c>
      <c r="M492" t="s">
        <v>77</v>
      </c>
      <c r="N492">
        <v>12</v>
      </c>
      <c r="O492">
        <v>2022</v>
      </c>
      <c r="P492" s="57">
        <v>44896</v>
      </c>
    </row>
    <row r="493" spans="1:16" x14ac:dyDescent="0.35">
      <c r="A493" t="s">
        <v>86</v>
      </c>
      <c r="B493">
        <v>1</v>
      </c>
      <c r="C493">
        <v>2</v>
      </c>
      <c r="D493">
        <v>2</v>
      </c>
      <c r="E493">
        <v>1</v>
      </c>
      <c r="F493">
        <v>1</v>
      </c>
      <c r="G493" t="s">
        <v>37</v>
      </c>
      <c r="H493" t="s">
        <v>87</v>
      </c>
      <c r="I493" t="s">
        <v>98</v>
      </c>
      <c r="J493">
        <v>710209</v>
      </c>
      <c r="K493" t="s">
        <v>76</v>
      </c>
      <c r="L493" t="s">
        <v>77</v>
      </c>
      <c r="M493" t="s">
        <v>77</v>
      </c>
      <c r="N493">
        <v>12</v>
      </c>
      <c r="O493">
        <v>2022</v>
      </c>
      <c r="P493" s="57">
        <v>44896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Y554"/>
  <sheetViews>
    <sheetView topLeftCell="AG37" workbookViewId="0">
      <selection activeCell="AK31" sqref="AK31"/>
    </sheetView>
  </sheetViews>
  <sheetFormatPr defaultRowHeight="14.5" x14ac:dyDescent="0.35"/>
  <cols>
    <col min="1" max="1" width="21.08984375" style="7" bestFit="1" customWidth="1"/>
    <col min="2" max="2" width="11.7265625" style="7" customWidth="1"/>
    <col min="3" max="4" width="26.453125" style="7" customWidth="1"/>
    <col min="5" max="5" width="5.453125" style="7" customWidth="1"/>
    <col min="6" max="6" width="47.26953125" style="7" bestFit="1" customWidth="1"/>
    <col min="7" max="7" width="8.54296875" style="7" bestFit="1" customWidth="1"/>
    <col min="8" max="8" width="19.453125" style="7" bestFit="1" customWidth="1"/>
    <col min="9" max="9" width="21.6328125" style="7" bestFit="1" customWidth="1"/>
    <col min="10" max="10" width="23.7265625" style="7" bestFit="1" customWidth="1"/>
    <col min="11" max="11" width="25.90625" style="7" bestFit="1" customWidth="1"/>
    <col min="12" max="12" width="5.26953125" style="7" bestFit="1" customWidth="1"/>
    <col min="13" max="13" width="11" bestFit="1" customWidth="1"/>
    <col min="14" max="14" width="12.6328125" bestFit="1" customWidth="1"/>
    <col min="15" max="15" width="12.6328125" style="16" bestFit="1" customWidth="1"/>
    <col min="16" max="16" width="11.453125" style="15" customWidth="1"/>
    <col min="17" max="18" width="26.453125" style="16" customWidth="1"/>
    <col min="19" max="19" width="9.08984375" style="15" customWidth="1"/>
    <col min="20" max="20" width="12.6328125" style="16" bestFit="1" customWidth="1"/>
    <col min="21" max="21" width="8.54296875" style="16" bestFit="1" customWidth="1"/>
    <col min="22" max="22" width="19.453125" style="16" bestFit="1" customWidth="1"/>
    <col min="23" max="23" width="23.7265625" style="16" bestFit="1" customWidth="1"/>
    <col min="24" max="24" width="25.90625" style="16" bestFit="1" customWidth="1"/>
    <col min="25" max="25" width="21.6328125" style="16" bestFit="1" customWidth="1"/>
    <col min="26" max="26" width="16.08984375" style="16" bestFit="1" customWidth="1"/>
    <col min="27" max="27" width="11" bestFit="1" customWidth="1"/>
    <col min="31" max="31" width="21.08984375" style="28" bestFit="1" customWidth="1"/>
    <col min="32" max="32" width="11.453125" style="30" customWidth="1"/>
    <col min="33" max="33" width="26.453125" style="65" customWidth="1"/>
    <col min="34" max="34" width="26.453125" style="28" customWidth="1"/>
    <col min="35" max="35" width="9.08984375" style="30" customWidth="1"/>
    <col min="36" max="36" width="12.6328125" style="28" bestFit="1" customWidth="1"/>
    <col min="37" max="37" width="8.54296875" style="28" bestFit="1" customWidth="1"/>
    <col min="38" max="38" width="19.453125" style="28" bestFit="1" customWidth="1"/>
    <col min="39" max="39" width="23.7265625" style="28" bestFit="1" customWidth="1"/>
    <col min="40" max="40" width="25.90625" style="28" bestFit="1" customWidth="1"/>
    <col min="41" max="41" width="21.6328125" style="28" bestFit="1" customWidth="1"/>
    <col min="42" max="42" width="16.08984375" style="28" bestFit="1" customWidth="1"/>
    <col min="48" max="48" width="19.08984375" style="37" bestFit="1" customWidth="1"/>
    <col min="49" max="49" width="11.453125" style="38" customWidth="1"/>
    <col min="50" max="51" width="26.453125" style="37" customWidth="1"/>
    <col min="52" max="52" width="9.08984375" style="38" customWidth="1"/>
    <col min="53" max="53" width="12.6328125" style="37" bestFit="1" customWidth="1"/>
    <col min="54" max="54" width="8.54296875" style="37" bestFit="1" customWidth="1"/>
    <col min="55" max="55" width="19.453125" style="37" bestFit="1" customWidth="1"/>
    <col min="56" max="56" width="23.7265625" style="37" bestFit="1" customWidth="1"/>
    <col min="57" max="57" width="25.90625" style="37" bestFit="1" customWidth="1"/>
    <col min="58" max="58" width="21.6328125" style="37" bestFit="1" customWidth="1"/>
    <col min="59" max="59" width="16.08984375" style="37" bestFit="1" customWidth="1"/>
    <col min="60" max="60" width="8.7265625" style="37"/>
    <col min="66" max="66" width="21.08984375" style="48" bestFit="1" customWidth="1"/>
    <col min="67" max="67" width="11.453125" style="49" customWidth="1"/>
    <col min="68" max="69" width="26.453125" style="48" customWidth="1"/>
    <col min="70" max="70" width="9.08984375" style="49" customWidth="1"/>
    <col min="71" max="71" width="12.6328125" style="48" bestFit="1" customWidth="1"/>
    <col min="72" max="72" width="8.54296875" style="48" bestFit="1" customWidth="1"/>
    <col min="73" max="73" width="19.453125" style="48" bestFit="1" customWidth="1"/>
    <col min="74" max="74" width="23.7265625" style="48" bestFit="1" customWidth="1"/>
    <col min="75" max="75" width="25.90625" style="48" bestFit="1" customWidth="1"/>
    <col min="76" max="76" width="21.6328125" style="48" bestFit="1" customWidth="1"/>
    <col min="77" max="77" width="16.08984375" style="48" bestFit="1" customWidth="1"/>
  </cols>
  <sheetData>
    <row r="1" spans="1:77" x14ac:dyDescent="0.35">
      <c r="A1" s="7" t="s">
        <v>21</v>
      </c>
      <c r="O1" s="15"/>
      <c r="P1" s="16"/>
      <c r="R1" s="15"/>
      <c r="S1" s="16"/>
      <c r="AE1" s="28" t="s">
        <v>21</v>
      </c>
      <c r="AF1" s="28"/>
      <c r="AI1" s="28"/>
      <c r="AV1" s="3" t="s">
        <v>21</v>
      </c>
      <c r="AW1"/>
      <c r="AX1"/>
      <c r="AZ1" s="37"/>
      <c r="BH1"/>
      <c r="BM1" s="48"/>
      <c r="BO1" s="48"/>
      <c r="BR1" s="48"/>
      <c r="BX1"/>
      <c r="BY1"/>
    </row>
    <row r="2" spans="1:77" x14ac:dyDescent="0.35">
      <c r="A2" s="8" t="s">
        <v>1</v>
      </c>
      <c r="O2" s="15"/>
      <c r="P2" s="16"/>
      <c r="R2" s="15"/>
      <c r="S2" s="16"/>
      <c r="AE2" s="29" t="s">
        <v>1</v>
      </c>
      <c r="AF2" s="28"/>
      <c r="AI2" s="28"/>
      <c r="AV2" s="4" t="s">
        <v>2</v>
      </c>
      <c r="AW2"/>
      <c r="AX2"/>
      <c r="AZ2" s="37"/>
      <c r="BH2"/>
      <c r="BM2" s="48"/>
      <c r="BO2" s="48"/>
      <c r="BR2" s="48"/>
      <c r="BX2"/>
      <c r="BY2"/>
    </row>
    <row r="3" spans="1:77" x14ac:dyDescent="0.35">
      <c r="A3" s="8" t="s">
        <v>28</v>
      </c>
      <c r="O3" s="15"/>
      <c r="P3" s="16"/>
      <c r="R3" s="15"/>
      <c r="S3" s="16"/>
      <c r="AE3" s="29" t="s">
        <v>28</v>
      </c>
      <c r="AF3" s="28"/>
      <c r="AI3" s="28"/>
      <c r="AV3" s="4" t="s">
        <v>28</v>
      </c>
      <c r="AW3"/>
      <c r="AX3"/>
      <c r="AZ3" s="37"/>
      <c r="BH3"/>
      <c r="BM3" s="48"/>
      <c r="BO3" s="48"/>
      <c r="BR3" s="48"/>
      <c r="BX3"/>
      <c r="BY3"/>
    </row>
    <row r="4" spans="1:77" x14ac:dyDescent="0.35">
      <c r="O4" s="16" t="s">
        <v>21</v>
      </c>
      <c r="P4" s="16"/>
      <c r="AE4"/>
      <c r="AF4" s="28"/>
      <c r="AH4" s="30"/>
      <c r="AI4" s="28"/>
      <c r="AV4"/>
      <c r="AW4"/>
      <c r="AX4"/>
      <c r="AZ4" s="37"/>
      <c r="BH4"/>
      <c r="BM4" s="48"/>
      <c r="BN4" s="3" t="s">
        <v>21</v>
      </c>
      <c r="BO4"/>
      <c r="BP4"/>
      <c r="BR4" s="48"/>
      <c r="BX4"/>
      <c r="BY4"/>
    </row>
    <row r="5" spans="1:77" x14ac:dyDescent="0.35">
      <c r="O5" s="17" t="s">
        <v>12</v>
      </c>
      <c r="P5" s="16"/>
      <c r="AE5"/>
      <c r="AF5" s="28"/>
      <c r="AH5" s="30"/>
      <c r="AI5" s="28"/>
      <c r="AV5"/>
      <c r="AW5"/>
      <c r="AX5"/>
      <c r="AZ5" s="37"/>
      <c r="BH5"/>
      <c r="BM5" s="48"/>
      <c r="BN5" s="4" t="s">
        <v>1</v>
      </c>
      <c r="BO5"/>
      <c r="BP5"/>
      <c r="BR5" s="48"/>
      <c r="BX5"/>
      <c r="BY5"/>
    </row>
    <row r="6" spans="1:77" x14ac:dyDescent="0.35">
      <c r="O6" s="17" t="s">
        <v>28</v>
      </c>
      <c r="P6" s="16"/>
      <c r="AE6"/>
      <c r="AF6" s="28"/>
      <c r="AH6" s="30"/>
      <c r="AI6" s="28"/>
      <c r="AV6"/>
      <c r="AW6"/>
      <c r="AX6"/>
      <c r="AZ6" s="37"/>
      <c r="BH6"/>
      <c r="BM6" s="48"/>
      <c r="BN6" s="4" t="s">
        <v>28</v>
      </c>
      <c r="BO6"/>
      <c r="BP6"/>
      <c r="BR6" s="48"/>
      <c r="BX6"/>
      <c r="BY6"/>
    </row>
    <row r="7" spans="1:77" x14ac:dyDescent="0.35">
      <c r="P7" s="16"/>
      <c r="AE7"/>
      <c r="AF7" s="28"/>
      <c r="AH7" s="30"/>
      <c r="AI7" s="28"/>
      <c r="AV7"/>
      <c r="AW7"/>
      <c r="AX7"/>
      <c r="AZ7" s="37"/>
      <c r="BH7"/>
      <c r="BM7" s="48"/>
      <c r="BN7"/>
      <c r="BO7"/>
      <c r="BP7"/>
      <c r="BR7" s="48"/>
      <c r="BX7"/>
      <c r="BY7"/>
    </row>
    <row r="8" spans="1:77" x14ac:dyDescent="0.35">
      <c r="P8" s="16"/>
      <c r="AE8"/>
      <c r="AF8" s="28"/>
      <c r="AH8" s="30"/>
      <c r="AI8" s="28"/>
      <c r="AV8"/>
      <c r="AW8"/>
      <c r="AX8"/>
      <c r="AY8" s="38"/>
      <c r="AZ8" s="37"/>
      <c r="BN8"/>
      <c r="BO8"/>
      <c r="BP8"/>
      <c r="BQ8" s="49"/>
      <c r="BR8" s="48"/>
    </row>
    <row r="9" spans="1:77" x14ac:dyDescent="0.35">
      <c r="P9" s="16"/>
      <c r="AF9" s="28"/>
      <c r="AH9" s="30"/>
      <c r="AI9" s="28"/>
      <c r="AV9"/>
      <c r="AW9"/>
      <c r="AX9"/>
      <c r="AY9" s="38"/>
      <c r="AZ9" s="37"/>
      <c r="BN9"/>
      <c r="BO9"/>
      <c r="BP9"/>
      <c r="BQ9" s="49"/>
      <c r="BR9" s="48"/>
    </row>
    <row r="10" spans="1:77" x14ac:dyDescent="0.35">
      <c r="P10" s="16"/>
      <c r="AF10" s="28"/>
      <c r="AH10" s="30"/>
      <c r="AI10" s="28"/>
      <c r="AV10"/>
      <c r="AW10"/>
      <c r="AX10"/>
      <c r="AY10" s="38"/>
      <c r="AZ10" s="37"/>
      <c r="BN10"/>
      <c r="BO10"/>
      <c r="BP10"/>
      <c r="BQ10" s="49"/>
      <c r="BR10" s="48"/>
    </row>
    <row r="11" spans="1:77" x14ac:dyDescent="0.35">
      <c r="P11" s="16"/>
      <c r="AF11" s="28"/>
      <c r="AH11" s="30"/>
      <c r="AI11" s="28"/>
      <c r="AV11"/>
      <c r="AW11"/>
      <c r="AX11"/>
      <c r="AY11" s="38"/>
      <c r="AZ11" s="37"/>
      <c r="BN11"/>
      <c r="BO11"/>
      <c r="BP11"/>
      <c r="BQ11" s="49"/>
      <c r="BR11" s="48"/>
    </row>
    <row r="12" spans="1:77" x14ac:dyDescent="0.35">
      <c r="P12" s="16"/>
      <c r="AF12" s="28"/>
      <c r="AH12" s="30"/>
      <c r="AI12" s="28"/>
      <c r="AV12"/>
      <c r="AW12"/>
      <c r="AX12"/>
      <c r="AY12" s="38"/>
      <c r="AZ12" s="37"/>
      <c r="BN12"/>
      <c r="BO12"/>
      <c r="BP12"/>
      <c r="BQ12" s="49"/>
      <c r="BR12" s="48"/>
    </row>
    <row r="13" spans="1:77" x14ac:dyDescent="0.35">
      <c r="D13" s="9" t="s">
        <v>33</v>
      </c>
      <c r="P13" s="16"/>
      <c r="AF13" s="28"/>
      <c r="AH13" s="30"/>
      <c r="AI13" s="28"/>
      <c r="AV13"/>
      <c r="AW13"/>
      <c r="AX13"/>
      <c r="AY13" s="38"/>
      <c r="AZ13" s="37"/>
      <c r="BN13"/>
      <c r="BO13"/>
      <c r="BP13"/>
      <c r="BQ13" s="49"/>
      <c r="BR13" s="48"/>
    </row>
    <row r="14" spans="1:77" x14ac:dyDescent="0.35">
      <c r="D14" s="9"/>
      <c r="P14" s="16"/>
      <c r="AF14" s="28"/>
      <c r="AH14" s="30"/>
      <c r="AI14" s="28"/>
      <c r="AV14"/>
      <c r="AW14"/>
      <c r="AX14"/>
      <c r="AY14" s="38"/>
      <c r="AZ14" s="37"/>
      <c r="BN14"/>
      <c r="BO14"/>
      <c r="BP14"/>
      <c r="BQ14" s="49"/>
      <c r="BR14" s="48"/>
    </row>
    <row r="15" spans="1:77" x14ac:dyDescent="0.35">
      <c r="P15" s="16"/>
      <c r="AF15" s="28"/>
      <c r="AH15" s="30"/>
      <c r="AI15" s="28"/>
      <c r="AV15"/>
      <c r="AW15"/>
      <c r="AX15"/>
      <c r="AY15" s="38"/>
      <c r="AZ15" s="37"/>
      <c r="BN15"/>
      <c r="BO15"/>
      <c r="BP15"/>
      <c r="BQ15" s="49"/>
      <c r="BR15" s="48"/>
    </row>
    <row r="16" spans="1:77" ht="15" thickBot="1" x14ac:dyDescent="0.4">
      <c r="P16" s="16"/>
      <c r="AF16" s="28"/>
      <c r="AH16" s="30"/>
      <c r="AI16" s="28"/>
      <c r="AV16"/>
      <c r="AW16"/>
      <c r="AX16"/>
      <c r="AY16" s="38"/>
      <c r="AZ16" s="37"/>
      <c r="BN16"/>
      <c r="BO16"/>
      <c r="BP16"/>
      <c r="BQ16" s="49"/>
      <c r="BR16" s="48"/>
    </row>
    <row r="17" spans="1:77" x14ac:dyDescent="0.35">
      <c r="D17" s="10" t="s">
        <v>31</v>
      </c>
      <c r="P17" s="16"/>
      <c r="R17" s="18" t="s">
        <v>31</v>
      </c>
      <c r="AF17" s="28"/>
      <c r="AH17" s="31" t="s">
        <v>31</v>
      </c>
      <c r="AV17"/>
      <c r="AW17"/>
      <c r="AX17"/>
      <c r="AY17" s="39" t="s">
        <v>31</v>
      </c>
      <c r="BN17"/>
      <c r="BO17"/>
      <c r="BP17"/>
      <c r="BQ17" s="50" t="s">
        <v>31</v>
      </c>
    </row>
    <row r="18" spans="1:77" ht="15" thickBot="1" x14ac:dyDescent="0.4">
      <c r="D18" s="11" t="str">
        <f>A2</f>
        <v>Unique_Item_Requests</v>
      </c>
      <c r="P18" s="16"/>
      <c r="R18" s="19" t="str">
        <f>O5</f>
        <v>User</v>
      </c>
      <c r="AF18" s="28"/>
      <c r="AH18" s="32" t="str">
        <f>AE2</f>
        <v>Unique_Item_Requests</v>
      </c>
      <c r="AV18"/>
      <c r="AW18"/>
      <c r="AX18"/>
      <c r="AY18" s="40" t="str">
        <f>AV2</f>
        <v>Total_Item_Requests</v>
      </c>
      <c r="BN18"/>
      <c r="BO18"/>
      <c r="BP18"/>
      <c r="BQ18" s="51" t="str">
        <f>BN5</f>
        <v>Unique_Item_Requests</v>
      </c>
    </row>
    <row r="19" spans="1:77" x14ac:dyDescent="0.35">
      <c r="P19" s="16"/>
      <c r="AF19" s="28"/>
      <c r="AW19" s="37"/>
      <c r="BN19"/>
      <c r="BO19"/>
      <c r="BP19"/>
    </row>
    <row r="20" spans="1:77" x14ac:dyDescent="0.35">
      <c r="P20" s="16"/>
      <c r="AF20" s="28"/>
      <c r="AW20" s="37"/>
      <c r="BN20"/>
      <c r="BO20"/>
      <c r="BP20"/>
    </row>
    <row r="21" spans="1:77" x14ac:dyDescent="0.35">
      <c r="A21" s="7" t="s">
        <v>16</v>
      </c>
      <c r="F21" s="9" t="s">
        <v>14</v>
      </c>
      <c r="G21" s="9" t="s">
        <v>17</v>
      </c>
      <c r="P21" s="16"/>
      <c r="T21" s="20" t="s">
        <v>15</v>
      </c>
      <c r="U21" s="20" t="s">
        <v>17</v>
      </c>
      <c r="AF21" s="28"/>
      <c r="AJ21" s="33" t="s">
        <v>0</v>
      </c>
      <c r="AK21" s="33" t="s">
        <v>17</v>
      </c>
      <c r="AW21" s="37"/>
      <c r="BA21" s="41" t="s">
        <v>15</v>
      </c>
      <c r="BB21" s="41" t="s">
        <v>17</v>
      </c>
      <c r="BN21"/>
      <c r="BO21"/>
      <c r="BP21"/>
      <c r="BS21" s="52" t="s">
        <v>15</v>
      </c>
      <c r="BT21" s="52" t="s">
        <v>17</v>
      </c>
    </row>
    <row r="22" spans="1:77" x14ac:dyDescent="0.35">
      <c r="A22" s="11" t="s">
        <v>5</v>
      </c>
      <c r="B22" s="12"/>
      <c r="E22" s="12"/>
      <c r="F22" s="9" t="s">
        <v>15</v>
      </c>
      <c r="G22" s="9" t="s">
        <v>17</v>
      </c>
      <c r="T22" s="20" t="s">
        <v>0</v>
      </c>
      <c r="U22" s="20" t="s">
        <v>17</v>
      </c>
      <c r="AJ22" s="33" t="s">
        <v>14</v>
      </c>
      <c r="AK22" s="33" t="s">
        <v>17</v>
      </c>
      <c r="BA22" s="41" t="s">
        <v>0</v>
      </c>
      <c r="BB22" s="41" t="s">
        <v>17</v>
      </c>
      <c r="BS22" s="52" t="s">
        <v>0</v>
      </c>
      <c r="BT22" s="52" t="s">
        <v>17</v>
      </c>
    </row>
    <row r="23" spans="1:77" x14ac:dyDescent="0.35">
      <c r="A23" s="11" t="s">
        <v>2</v>
      </c>
      <c r="B23" s="12"/>
      <c r="E23" s="12"/>
    </row>
    <row r="24" spans="1:77" x14ac:dyDescent="0.35">
      <c r="A24" s="11" t="s">
        <v>1</v>
      </c>
      <c r="B24" s="12"/>
      <c r="E24" s="12"/>
      <c r="F24" s="9"/>
      <c r="G24" s="9" t="s">
        <v>18</v>
      </c>
      <c r="H24" s="9"/>
      <c r="I24" s="9"/>
      <c r="J24" s="9"/>
      <c r="K24" s="9"/>
      <c r="L24" s="9"/>
      <c r="O24" s="16" t="s">
        <v>16</v>
      </c>
      <c r="T24" s="20"/>
      <c r="U24" s="20" t="s">
        <v>18</v>
      </c>
      <c r="V24" s="20"/>
      <c r="W24" s="20"/>
      <c r="X24" s="20"/>
      <c r="Y24" s="20"/>
      <c r="Z24" s="20"/>
      <c r="AE24" s="28" t="s">
        <v>16</v>
      </c>
      <c r="AJ24" s="33"/>
      <c r="AK24" s="33" t="s">
        <v>18</v>
      </c>
      <c r="AL24" s="33"/>
      <c r="AM24" s="33"/>
      <c r="AN24" s="33"/>
      <c r="AO24" s="33"/>
      <c r="AP24" s="33"/>
      <c r="AV24" s="37" t="s">
        <v>16</v>
      </c>
      <c r="BA24" s="41"/>
      <c r="BB24" s="41" t="s">
        <v>18</v>
      </c>
      <c r="BC24" s="41"/>
      <c r="BD24" s="41"/>
      <c r="BE24" s="41"/>
      <c r="BF24" s="41"/>
      <c r="BG24" s="41"/>
      <c r="BN24" s="48" t="s">
        <v>16</v>
      </c>
      <c r="BS24" s="52"/>
      <c r="BT24" s="52" t="s">
        <v>18</v>
      </c>
      <c r="BU24" s="52"/>
      <c r="BV24" s="52"/>
      <c r="BW24" s="52"/>
      <c r="BX24" s="52"/>
      <c r="BY24" s="52"/>
    </row>
    <row r="25" spans="1:77" x14ac:dyDescent="0.35">
      <c r="A25" s="11" t="s">
        <v>3</v>
      </c>
      <c r="B25" s="12"/>
      <c r="C25" s="9" t="s">
        <v>19</v>
      </c>
      <c r="D25" s="9" t="s">
        <v>20</v>
      </c>
      <c r="E25" s="12"/>
      <c r="F25" s="9" t="s">
        <v>21</v>
      </c>
      <c r="G25" s="9" t="s">
        <v>22</v>
      </c>
      <c r="H25" s="9" t="s">
        <v>23</v>
      </c>
      <c r="I25" s="9" t="s">
        <v>24</v>
      </c>
      <c r="J25" s="9" t="s">
        <v>25</v>
      </c>
      <c r="K25" s="9" t="s">
        <v>26</v>
      </c>
      <c r="L25" s="9" t="s">
        <v>27</v>
      </c>
      <c r="O25" s="21" t="s">
        <v>5</v>
      </c>
      <c r="P25" s="22"/>
      <c r="Q25" s="23" t="s">
        <v>19</v>
      </c>
      <c r="R25" s="24" t="s">
        <v>20</v>
      </c>
      <c r="T25" s="20" t="s">
        <v>21</v>
      </c>
      <c r="U25" s="20" t="s">
        <v>22</v>
      </c>
      <c r="V25" s="20" t="s">
        <v>23</v>
      </c>
      <c r="W25" s="20" t="s">
        <v>25</v>
      </c>
      <c r="X25" s="20" t="s">
        <v>26</v>
      </c>
      <c r="Y25" s="20" t="s">
        <v>24</v>
      </c>
      <c r="Z25" s="20" t="s">
        <v>32</v>
      </c>
      <c r="AE25" s="32" t="s">
        <v>5</v>
      </c>
      <c r="AF25" s="34"/>
      <c r="AG25" s="66" t="s">
        <v>19</v>
      </c>
      <c r="AH25" s="35" t="s">
        <v>20</v>
      </c>
      <c r="AJ25" s="33" t="s">
        <v>21</v>
      </c>
      <c r="AK25" s="33" t="s">
        <v>22</v>
      </c>
      <c r="AL25" s="33" t="s">
        <v>23</v>
      </c>
      <c r="AM25" s="33" t="s">
        <v>25</v>
      </c>
      <c r="AN25" s="33" t="s">
        <v>26</v>
      </c>
      <c r="AO25" s="33" t="s">
        <v>24</v>
      </c>
      <c r="AP25" s="33" t="s">
        <v>32</v>
      </c>
      <c r="AV25" s="40" t="s">
        <v>5</v>
      </c>
      <c r="AW25" s="42"/>
      <c r="AX25" s="43" t="s">
        <v>19</v>
      </c>
      <c r="AY25" s="44" t="s">
        <v>20</v>
      </c>
      <c r="BA25" s="41" t="s">
        <v>21</v>
      </c>
      <c r="BB25" s="41" t="s">
        <v>22</v>
      </c>
      <c r="BC25" s="41" t="s">
        <v>23</v>
      </c>
      <c r="BD25" s="41" t="s">
        <v>25</v>
      </c>
      <c r="BE25" s="41" t="s">
        <v>26</v>
      </c>
      <c r="BF25" s="41" t="s">
        <v>24</v>
      </c>
      <c r="BG25" s="41" t="s">
        <v>32</v>
      </c>
      <c r="BN25" s="51" t="s">
        <v>5</v>
      </c>
      <c r="BO25" s="53"/>
      <c r="BP25" s="54" t="s">
        <v>19</v>
      </c>
      <c r="BQ25" s="55" t="s">
        <v>20</v>
      </c>
      <c r="BS25" s="52" t="s">
        <v>21</v>
      </c>
      <c r="BT25" s="52" t="s">
        <v>22</v>
      </c>
      <c r="BU25" s="52" t="s">
        <v>23</v>
      </c>
      <c r="BV25" s="52" t="s">
        <v>25</v>
      </c>
      <c r="BW25" s="52" t="s">
        <v>26</v>
      </c>
      <c r="BX25" s="52" t="s">
        <v>24</v>
      </c>
      <c r="BY25" s="52" t="s">
        <v>32</v>
      </c>
    </row>
    <row r="26" spans="1:77" x14ac:dyDescent="0.35">
      <c r="A26" s="11" t="s">
        <v>4</v>
      </c>
      <c r="B26" s="12"/>
      <c r="C26" s="9" t="str">
        <f t="array" ref="C26:C28">_xlfn.UNIQUE(F26:F35)</f>
        <v>Anesthesia &amp; Analgesia</v>
      </c>
      <c r="D26" s="13">
        <f>IF(C_MEAS="Sessions",INDEX($G$26:G35,MATCH(C26,$F$26:$F79,0)),
IF(C_MEAS="Total_Item_Requests",INDEX($H$26:$H35,MATCH(C26,$F$26:$F35,0)),
IF(C_MEAS="Unique_Item_Requests",INDEX($I$26:$I35,MATCH(C26,$F$26:$F35,0)),
IF(C_MEAS="Total_Item_Investigations",INDEX($J$26:$J35,MATCH(C26,$F$26:$F35,0)),
IF(C_MEAS="Unique_Item_Investigations",INDEX($K$26:$K35,MATCH(C26,$F$26:$F35,0)),
IF(C_MEAS="User",INDEX($L$26:$L26,MATCH(C26,$F$26:$F35,0))
))))))</f>
        <v>50</v>
      </c>
      <c r="E26" s="12"/>
      <c r="F26" s="96" t="s">
        <v>43</v>
      </c>
      <c r="G26" s="97">
        <v>36</v>
      </c>
      <c r="H26" s="97">
        <v>17</v>
      </c>
      <c r="I26" s="97">
        <v>50</v>
      </c>
      <c r="J26" s="97">
        <v>70</v>
      </c>
      <c r="K26" s="97">
        <v>56</v>
      </c>
      <c r="L26" s="97">
        <v>17</v>
      </c>
      <c r="O26" s="21" t="s">
        <v>2</v>
      </c>
      <c r="P26" s="22"/>
      <c r="Q26" s="23" t="str">
        <f t="array" ref="Q26:Q28">_xlfn.UNIQUE(T26:T35)</f>
        <v>(blank)</v>
      </c>
      <c r="R26" s="21">
        <f>IF(CMEAS_1="Sessions",INDEX($U$26:U35,MATCH(Q26,$T$26:$T35,0)),
IF(CMEAS_1="Total_Item_Requests",INDEX($V$26:$V35,MATCH(Q26,$T$26:$T35,0)),
IF(CMEAS_1="Unique_Item_Requests",INDEX($Y$26:$Y35,MATCH(Q26,$T$26:$T35,0)),
IF(CMEAS_1="Total_Item_Investigations",INDEX($W$26:$W35,MATCH(Q26,$T$26:$T35,0)),
IF(CMEAS_1="Unique_Item_Investigations",INDEX($X$26:$X35,MATCH(Q26,$T$26:$T35,0)),
IF(CMEAS_1="User",INDEX($Z$26:$Z26,MATCH(Q26,$T$26:$T35,0)),
))))))</f>
        <v>0</v>
      </c>
      <c r="T26" s="25" t="s">
        <v>52</v>
      </c>
      <c r="U26" s="26"/>
      <c r="V26" s="26"/>
      <c r="W26" s="26"/>
      <c r="X26" s="26"/>
      <c r="Y26" s="26"/>
      <c r="Z26" s="26"/>
      <c r="AE26" s="32" t="s">
        <v>2</v>
      </c>
      <c r="AF26" s="34"/>
      <c r="AG26" s="66">
        <f t="array" ref="AG26:AG28">_xlfn.UNIQUE(AJ26:AJ35)</f>
        <v>44927</v>
      </c>
      <c r="AH26" s="32">
        <f>IF(CMEAS_2="Sessions",INDEX($AK26:$AK35,MATCH(AG26,$AJ$26:$AJ35,0)),
IF(CMEAS_2="Total_Item_Requests",INDEX($AL$26:$AL35,MATCH(AG26,$AJ$26:$AJ35,0)),
IF(CMEAS_2="Unique_Item_Requests",INDEX($AO$26:$AO35,MATCH(AG26,$AJ$26:$AJ35,0)),
IF(CMEAS_2="Total_Item_Investigations",INDEX($AM$26:$AM35,MATCH(AG26,$AJ$26:$AJ35,0)),
IF(CMEAS_2="Unique_Item_Investigations",INDEX($AN$26:$AN35,MATCH(AG26,$AJ$26:$AJ35,0)),
IF(CMEAS_2="User",INDEX($AP$26:$AP35,MATCH(AG26,$AJ$26:$AJ35,0)),
))))))</f>
        <v>37</v>
      </c>
      <c r="AJ26" s="102">
        <v>44927</v>
      </c>
      <c r="AK26" s="101">
        <v>29</v>
      </c>
      <c r="AL26" s="101">
        <v>50</v>
      </c>
      <c r="AM26" s="101">
        <v>56</v>
      </c>
      <c r="AN26" s="101">
        <v>43</v>
      </c>
      <c r="AO26" s="101">
        <v>37</v>
      </c>
      <c r="AP26" s="101">
        <v>18</v>
      </c>
      <c r="AV26" s="40" t="s">
        <v>2</v>
      </c>
      <c r="AW26" s="42"/>
      <c r="AX26" s="43" t="str">
        <f t="array" ref="AX26:AX28">_xlfn.UNIQUE(BA26:BA35)</f>
        <v>(blank)</v>
      </c>
      <c r="AY26" s="40">
        <f>IF(CMEAS_3="Sessions",INDEX($BB$26:$BB35,MATCH(AX26,$BA$26:$BA35,0)),
IF(CMEAS_3="Total_Item_Requests",INDEX($BC$26:$BC35,MATCH(AX26,$BA$26:$BA35,0)),
IF(CMEAS_3="Unique_Item_Requests",INDEX($BF$26:$BF35,MATCH(AX26,$BA$26:$BA35,0)),
IF(CMEAS_3="Total_Item_Investigations",INDEX($BD$26:$BD35,MATCH(AX26,$BA$26:$BA35,0)),
IF(CMEAS_3="Unique_Item_Investigations",INDEX($BE$26:$BE35,MATCH(AX26,$BA$26:$BA35,0)),
IF(CMEAS_3="User",INDEX($BG$26:$BG36,MATCH(AX26,$BA$26:$BA35,0)),
))))))</f>
        <v>0</v>
      </c>
      <c r="BA26" s="45" t="s">
        <v>52</v>
      </c>
      <c r="BB26" s="46"/>
      <c r="BC26" s="46"/>
      <c r="BD26" s="46"/>
      <c r="BE26" s="46"/>
      <c r="BF26" s="46"/>
      <c r="BG26" s="46"/>
      <c r="BN26" s="51" t="s">
        <v>2</v>
      </c>
      <c r="BO26" s="53"/>
      <c r="BP26" s="54" t="str">
        <f t="array" ref="BP26:BP28">_xlfn.UNIQUE(BS26:BS35)</f>
        <v>(blank)</v>
      </c>
      <c r="BQ26" s="51">
        <f>IF($BQ$18="Sessions",INDEX($BT$26:$BT$35,MATCH(BP26,$BS$26:$BS$35,0)),
IF($BQ$18="Total_Item_Requests",INDEX($BU$26:$BU$35,MATCH(BP26,$BS$26:$BS$35,0)),
IF($BQ$18="Unique_Item_Requests",INDEX($BX$26:$BX$35,MATCH(BP26,$BS$26:$BS$35,0)),
IF($BQ$18="Total_Item_Investigations",INDEX($BV$26:$BV$35,MATCH(BP26,$BS$26:$BS$35,0)),
IF($BQ$18="Unique_Item_Investigations",INDEX($BW$26:$BW$35,MATCH(BP26,$BS$26:$BS$35,0)),
IF($BQ$18="User",INDEX($BY$26:$BY$35,MATCH(BP26,$BS$26:$BS$35,0)),
))))))</f>
        <v>0</v>
      </c>
      <c r="BS26" s="69" t="s">
        <v>52</v>
      </c>
      <c r="BT26" s="70"/>
      <c r="BU26" s="70"/>
      <c r="BV26" s="70"/>
      <c r="BW26" s="70"/>
      <c r="BX26" s="70"/>
      <c r="BY26" s="70"/>
    </row>
    <row r="27" spans="1:77" x14ac:dyDescent="0.35">
      <c r="A27" s="14" t="s">
        <v>12</v>
      </c>
      <c r="B27" s="12"/>
      <c r="C27" s="9" t="str">
        <v>Circulation</v>
      </c>
      <c r="D27" s="13">
        <f>IF(C_MEAS="Sessions",INDEX($G$26:G35,MATCH(C27,$F$26:$F100,0)),
IF(C_MEAS="Total_Item_Requests",INDEX($H$26:$H35,MATCH(C27,$F$26:$F35,0)),
IF(C_MEAS="Unique_Item_Requests",INDEX($I$26:$I35,MATCH(C27,$F$26:$F35,0)),
IF(C_MEAS="Total_Item_Investigations",INDEX($J$26:$J35,MATCH(C27,$F$26:$F35,0)),
IF(C_MEAS="Unique_Item_Investigations",INDEX($K$26:$K35,MATCH(C27,$F$26:$F35,0)),
IF(C_MEAS="User",INDEX($L$26:$L27,MATCH(C27,$F$26:$F35,0))
))))))</f>
        <v>43</v>
      </c>
      <c r="E27" s="12"/>
      <c r="F27" s="96" t="s">
        <v>50</v>
      </c>
      <c r="G27" s="97">
        <v>30</v>
      </c>
      <c r="H27" s="97">
        <v>15</v>
      </c>
      <c r="I27" s="97">
        <v>43</v>
      </c>
      <c r="J27" s="97">
        <v>74</v>
      </c>
      <c r="K27" s="97">
        <v>56</v>
      </c>
      <c r="L27" s="97">
        <v>15</v>
      </c>
      <c r="O27" s="21" t="s">
        <v>1</v>
      </c>
      <c r="P27" s="22"/>
      <c r="Q27" s="23">
        <v>2023</v>
      </c>
      <c r="R27" s="21">
        <f>IF(CMEAS_1="Sessions",INDEX($U$26:U36,MATCH(Q27,$T$26:$T36,0)),
IF(CMEAS_1="Total_Item_Requests",INDEX($V$26:$V36,MATCH(Q27,$T$26:$T36,0)),
IF(CMEAS_1="Unique_Item_Requests",INDEX($Y$26:$Y36,MATCH(Q27,$T$26:$T36,0)),
IF(CMEAS_1="Total_Item_Investigations",INDEX($W$26:$W36,MATCH(Q27,$T$26:$T36,0)),
IF(CMEAS_1="Unique_Item_Investigations",INDEX($X$26:$X36,MATCH(Q27,$T$26:$T36,0)),
IF(CMEAS_1="User",INDEX($Z$26:$Z27,MATCH(Q27,$T$26:$T36,0)),
))))))</f>
        <v>99</v>
      </c>
      <c r="T27" s="25">
        <v>2023</v>
      </c>
      <c r="U27" s="26">
        <v>221</v>
      </c>
      <c r="V27" s="26">
        <v>394</v>
      </c>
      <c r="W27" s="26">
        <v>461</v>
      </c>
      <c r="X27" s="26">
        <v>328</v>
      </c>
      <c r="Y27" s="26">
        <v>278</v>
      </c>
      <c r="Z27" s="26">
        <v>99</v>
      </c>
      <c r="AE27" s="32" t="s">
        <v>1</v>
      </c>
      <c r="AF27" s="34"/>
      <c r="AG27" s="66">
        <v>44958</v>
      </c>
      <c r="AH27" s="32">
        <f>IF(CMEAS_2="Sessions",INDEX($AK26:$AK36,MATCH(AG27,$AJ$26:$AJ36,0)),
IF(CMEAS_2="Total_Item_Requests",INDEX($AL$26:$AL36,MATCH(AG27,$AJ$26:$AJ36,0)),
IF(CMEAS_2="Unique_Item_Requests",INDEX($AO$26:$AO36,MATCH(AG27,$AJ$26:$AJ36,0)),
IF(CMEAS_2="Total_Item_Investigations",INDEX($AM$26:$AM36,MATCH(AG27,$AJ$26:$AJ36,0)),
IF(CMEAS_2="Unique_Item_Investigations",INDEX($AN$26:$AN36,MATCH(AG27,$AJ$26:$AJ36,0)),
IF(CMEAS_2="User",INDEX($AP$26:$AP36,MATCH(AG27,$AJ$26:$AJ36,0)),
))))))</f>
        <v>32</v>
      </c>
      <c r="AJ27" s="102">
        <v>44958</v>
      </c>
      <c r="AK27" s="101">
        <v>27</v>
      </c>
      <c r="AL27" s="101">
        <v>43</v>
      </c>
      <c r="AM27" s="101">
        <v>48</v>
      </c>
      <c r="AN27" s="101">
        <v>36</v>
      </c>
      <c r="AO27" s="101">
        <v>32</v>
      </c>
      <c r="AP27" s="101">
        <v>6</v>
      </c>
      <c r="AV27" s="40" t="s">
        <v>1</v>
      </c>
      <c r="AW27" s="42"/>
      <c r="AX27" s="43">
        <v>2023</v>
      </c>
      <c r="AY27" s="40">
        <f>IF(CMEAS_3="Sessions",INDEX($BB$26:$BB36,MATCH(AX27,$BA$26:$BA36,0)),
IF(CMEAS_3="Total_Item_Requests",INDEX($BC$26:$BC36,MATCH(AX27,$BA$26:$BA36,0)),
IF(CMEAS_3="Unique_Item_Requests",INDEX($BF$26:$BF36,MATCH(AX27,$BA$26:$BA36,0)),
IF(CMEAS_3="Total_Item_Investigations",INDEX($BD$26:$BD36,MATCH(AX27,$BA$26:$BA36,0)),
IF(CMEAS_3="Unique_Item_Investigations",INDEX($BE$26:$BE36,MATCH(AX27,$BA$26:$BA36,0)),
IF(CMEAS_3="User",INDEX($BG$26:$BG37,MATCH(AX27,$BA$26:$BA36,0)),
))))))</f>
        <v>394</v>
      </c>
      <c r="BA27" s="45">
        <v>2023</v>
      </c>
      <c r="BB27" s="46">
        <v>221</v>
      </c>
      <c r="BC27" s="46">
        <v>394</v>
      </c>
      <c r="BD27" s="46">
        <v>461</v>
      </c>
      <c r="BE27" s="46">
        <v>328</v>
      </c>
      <c r="BF27" s="46">
        <v>278</v>
      </c>
      <c r="BG27" s="46">
        <v>99</v>
      </c>
      <c r="BN27" s="51" t="s">
        <v>1</v>
      </c>
      <c r="BO27" s="53"/>
      <c r="BP27" s="54">
        <v>2023</v>
      </c>
      <c r="BQ27" s="51">
        <f t="shared" ref="BQ27:BQ58" si="0">IF($BQ$18="Sessions",INDEX($BT$26:$BT$35,MATCH(BP27,$BS$26:$BS$35,0)),
IF($BQ$18="Total_Item_Requests",INDEX($BU$26:$BU$35,MATCH(BP27,$BS$26:$BS$35,0)),
IF($BQ$18="Unique_Item_Requests",INDEX($BX$26:$BX$35,MATCH(BP27,$BS$26:$BS$35,0)),
IF($BQ$18="Total_Item_Investigations",INDEX($BV$26:$BV$35,MATCH(BP27,$BS$26:$BS$35,0)),
IF($BQ$18="Unique_Item_Investigations",INDEX($BW$26:$BW$35,MATCH(BP27,$BS$26:$BS$35,0)),
IF($BQ$18="User",INDEX($BY$26:$BY$35,MATCH(BP27,$BS$26:$BS$35,0)),
))))))</f>
        <v>278</v>
      </c>
      <c r="BS27" s="69">
        <v>2023</v>
      </c>
      <c r="BT27" s="70">
        <v>221</v>
      </c>
      <c r="BU27" s="70">
        <v>394</v>
      </c>
      <c r="BV27" s="70">
        <v>461</v>
      </c>
      <c r="BW27" s="70">
        <v>328</v>
      </c>
      <c r="BX27" s="70">
        <v>278</v>
      </c>
      <c r="BY27" s="70">
        <v>99</v>
      </c>
    </row>
    <row r="28" spans="1:77" x14ac:dyDescent="0.35">
      <c r="C28" s="9" t="str">
        <v>Critical Care Medicine</v>
      </c>
      <c r="D28" s="13">
        <f>IF(C_MEAS="Sessions",INDEX($G$26:G35,MATCH(C28,$F$26:$F35,0)),
IF(C_MEAS="Total_Item_Requests",INDEX($H$26:$H35,MATCH(C28,$F$26:$F35,0)),
IF(C_MEAS="Unique_Item_Requests",INDEX($I$26:$I35,MATCH(C28,$F$26:$F35,0)),
IF(C_MEAS="Total_Item_Investigations",INDEX($J$26:$J35,MATCH(C28,$F$26:$F35,0)),
IF(C_MEAS="Unique_Item_Investigations",INDEX($K$26:$K35,MATCH(C28,$F$26:$F35,0)),
IF(C_MEAS="User",INDEX($L$26:$L28,MATCH(C28,$F$26:$F35,0))
))))))</f>
        <v>120</v>
      </c>
      <c r="F28" s="96" t="s">
        <v>44</v>
      </c>
      <c r="G28" s="97">
        <v>96</v>
      </c>
      <c r="H28" s="97">
        <v>20</v>
      </c>
      <c r="I28" s="97">
        <v>120</v>
      </c>
      <c r="J28" s="97">
        <v>211</v>
      </c>
      <c r="K28" s="97">
        <v>140</v>
      </c>
      <c r="L28" s="97">
        <v>20</v>
      </c>
      <c r="O28" s="21" t="s">
        <v>3</v>
      </c>
      <c r="P28" s="22"/>
      <c r="Q28" s="23" t="str">
        <v>Grand Total</v>
      </c>
      <c r="R28" s="21">
        <f>IF(CMEAS_1="Sessions",INDEX($U$26:U37,MATCH(Q28,$T$26:$T37,0)),
IF(CMEAS_1="Total_Item_Requests",INDEX($V$26:$V37,MATCH(Q28,$T$26:$T37,0)),
IF(CMEAS_1="Unique_Item_Requests",INDEX($Y$26:$Y37,MATCH(Q28,$T$26:$T37,0)),
IF(CMEAS_1="Total_Item_Investigations",INDEX($W$26:$W37,MATCH(Q28,$T$26:$T37,0)),
IF(CMEAS_1="Unique_Item_Investigations",INDEX($X$26:$X37,MATCH(Q28,$T$26:$T37,0)),
IF(CMEAS_1="User",INDEX($Z$26:$Z28,MATCH(Q28,$T$26:$T37,0)),
))))))</f>
        <v>99</v>
      </c>
      <c r="T28" s="25" t="s">
        <v>28</v>
      </c>
      <c r="U28" s="26">
        <v>221</v>
      </c>
      <c r="V28" s="26">
        <v>394</v>
      </c>
      <c r="W28" s="26">
        <v>461</v>
      </c>
      <c r="X28" s="26">
        <v>328</v>
      </c>
      <c r="Y28" s="26">
        <v>278</v>
      </c>
      <c r="Z28" s="26">
        <v>99</v>
      </c>
      <c r="AE28" s="32" t="s">
        <v>3</v>
      </c>
      <c r="AF28" s="34"/>
      <c r="AG28" s="66">
        <v>44986</v>
      </c>
      <c r="AH28" s="32">
        <f>IF(CMEAS_2="Sessions",INDEX($AK26:$AK37,MATCH(AG28,$AJ$26:$AJ37,0)),
IF(CMEAS_2="Total_Item_Requests",INDEX($AL$26:$AL37,MATCH(AG28,$AJ$26:$AJ37,0)),
IF(CMEAS_2="Unique_Item_Requests",INDEX($AO$26:$AO37,MATCH(AG28,$AJ$26:$AJ37,0)),
IF(CMEAS_2="Total_Item_Investigations",INDEX($AM$26:$AM37,MATCH(AG28,$AJ$26:$AJ37,0)),
IF(CMEAS_2="Unique_Item_Investigations",INDEX($AN$26:$AN37,MATCH(AG28,$AJ$26:$AJ37,0)),
IF(CMEAS_2="User",INDEX($AP$26:$AP37,MATCH(AG28,$AJ$26:$AJ37,0)),
))))))</f>
        <v>31</v>
      </c>
      <c r="AJ28" s="102">
        <v>44986</v>
      </c>
      <c r="AK28" s="101">
        <v>22</v>
      </c>
      <c r="AL28" s="101">
        <v>40</v>
      </c>
      <c r="AM28" s="101">
        <v>50</v>
      </c>
      <c r="AN28" s="101">
        <v>38</v>
      </c>
      <c r="AO28" s="101">
        <v>31</v>
      </c>
      <c r="AP28" s="101">
        <v>6</v>
      </c>
      <c r="AV28" s="40" t="s">
        <v>3</v>
      </c>
      <c r="AW28" s="42"/>
      <c r="AX28" s="43" t="str">
        <v>Grand Total</v>
      </c>
      <c r="AY28" s="40">
        <f>IF(CMEAS_3="Sessions",INDEX($BB$26:$BB37,MATCH(AX28,$BA$26:$BA37,0)),
IF(CMEAS_3="Total_Item_Requests",INDEX($BC$26:$BC37,MATCH(AX28,$BA$26:$BA37,0)),
IF(CMEAS_3="Unique_Item_Requests",INDEX($BF$26:$BF37,MATCH(AX28,$BA$26:$BA37,0)),
IF(CMEAS_3="Total_Item_Investigations",INDEX($BD$26:$BD37,MATCH(AX28,$BA$26:$BA37,0)),
IF(CMEAS_3="Unique_Item_Investigations",INDEX($BE$26:$BE37,MATCH(AX28,$BA$26:$BA37,0)),
IF(CMEAS_3="User",INDEX($BG$26:$BG38,MATCH(AX28,$BA$26:$BA37,0)),
))))))</f>
        <v>394</v>
      </c>
      <c r="BA28" s="45" t="s">
        <v>28</v>
      </c>
      <c r="BB28" s="46">
        <v>221</v>
      </c>
      <c r="BC28" s="46">
        <v>394</v>
      </c>
      <c r="BD28" s="46">
        <v>461</v>
      </c>
      <c r="BE28" s="46">
        <v>328</v>
      </c>
      <c r="BF28" s="46">
        <v>278</v>
      </c>
      <c r="BG28" s="46">
        <v>99</v>
      </c>
      <c r="BN28" s="51" t="s">
        <v>3</v>
      </c>
      <c r="BO28" s="53"/>
      <c r="BP28" s="54">
        <v>0</v>
      </c>
      <c r="BQ28" s="51" t="e">
        <f t="shared" si="0"/>
        <v>#N/A</v>
      </c>
      <c r="BS28"/>
      <c r="BT28"/>
      <c r="BU28"/>
      <c r="BV28"/>
      <c r="BW28"/>
      <c r="BX28"/>
      <c r="BY28"/>
    </row>
    <row r="29" spans="1:77" x14ac:dyDescent="0.35">
      <c r="A29" s="9" t="s">
        <v>29</v>
      </c>
      <c r="C29" s="9" t="str">
        <f t="array" ref="C29">_xlfn.UNIQUE(F29:F38)</f>
        <v>Journal of Bone and Joint Surgery</v>
      </c>
      <c r="D29" s="13">
        <f>IF(C_MEAS="Sessions",INDEX($G$26:G36,MATCH(C29,$F$26:$F36,0)),
IF(C_MEAS="Total_Item_Requests",INDEX($H$26:$H36,MATCH(C29,$F$26:$F36,0)),
IF(C_MEAS="Unique_Item_Requests",INDEX($I$26:$I36,MATCH(C29,$F$26:$F36,0)),
IF(C_MEAS="Total_Item_Investigations",INDEX($J$26:$J36,MATCH(C29,$F$26:$F36,0)),
IF(C_MEAS="Unique_Item_Investigations",INDEX($K$26:$K36,MATCH(C29,$F$26:$F36,0)),
IF(C_MEAS="User",INDEX($L$26:$L29,MATCH(C29,$F$26:$F36,0))
))))))</f>
        <v>10</v>
      </c>
      <c r="F29" s="96" t="s">
        <v>47</v>
      </c>
      <c r="G29" s="97">
        <v>10</v>
      </c>
      <c r="H29" s="97">
        <v>7</v>
      </c>
      <c r="I29" s="97">
        <v>10</v>
      </c>
      <c r="J29" s="97">
        <v>23</v>
      </c>
      <c r="K29" s="97">
        <v>12</v>
      </c>
      <c r="L29" s="97">
        <v>7</v>
      </c>
      <c r="O29" s="21" t="s">
        <v>4</v>
      </c>
      <c r="P29" s="22"/>
      <c r="Q29" s="23">
        <f t="array" ref="Q29">_xlfn.UNIQUE(T29:T38)</f>
        <v>0</v>
      </c>
      <c r="R29" s="21" t="e">
        <f>IF(CMEAS_1="Sessions",INDEX($U$26:U38,MATCH(Q29,$T$26:$T38,0)),
IF(CMEAS_1="Total_Item_Requests",INDEX($V$26:$V38,MATCH(Q29,$T$26:$T38,0)),
IF(CMEAS_1="Unique_Item_Requests",INDEX($Y$26:$Y38,MATCH(Q29,$T$26:$T38,0)),
IF(CMEAS_1="Total_Item_Investigations",INDEX($W$26:$W38,MATCH(Q29,$T$26:$T38,0)),
IF(CMEAS_1="Unique_Item_Investigations",INDEX($X$26:$X38,MATCH(Q29,$T$26:$T38,0)),
IF(CMEAS_1="User",INDEX($Z$26:$Z29,MATCH(Q29,$T$26:$T38,0)),
))))))</f>
        <v>#N/A</v>
      </c>
      <c r="T29"/>
      <c r="U29"/>
      <c r="V29"/>
      <c r="W29"/>
      <c r="X29"/>
      <c r="Y29"/>
      <c r="Z29"/>
      <c r="AE29" s="32" t="s">
        <v>4</v>
      </c>
      <c r="AF29" s="34"/>
      <c r="AG29" s="66">
        <f t="array" ref="AG29">_xlfn.UNIQUE(AJ29:AJ38)</f>
        <v>45017</v>
      </c>
      <c r="AH29" s="32">
        <f>IF(CMEAS_2="Sessions",INDEX($AK26:$AK38,MATCH(AG29,$AJ$26:$AJ38,0)),
IF(CMEAS_2="Total_Item_Requests",INDEX($AL$26:$AL38,MATCH(AG29,$AJ$26:$AJ38,0)),
IF(CMEAS_2="Unique_Item_Requests",INDEX($AO$26:$AO38,MATCH(AG29,$AJ$26:$AJ38,0)),
IF(CMEAS_2="Total_Item_Investigations",INDEX($AM$26:$AM38,MATCH(AG29,$AJ$26:$AJ38,0)),
IF(CMEAS_2="Unique_Item_Investigations",INDEX($AN$26:$AN38,MATCH(AG29,$AJ$26:$AJ38,0)),
IF(CMEAS_2="User",INDEX($AP$26:$AP38,MATCH(AG29,$AJ$26:$AJ38,0)),
))))))</f>
        <v>28</v>
      </c>
      <c r="AJ29" s="102">
        <v>45017</v>
      </c>
      <c r="AK29" s="101">
        <v>21</v>
      </c>
      <c r="AL29" s="101">
        <v>42</v>
      </c>
      <c r="AM29" s="101">
        <v>44</v>
      </c>
      <c r="AN29" s="101">
        <v>30</v>
      </c>
      <c r="AO29" s="101">
        <v>28</v>
      </c>
      <c r="AP29" s="101">
        <v>8</v>
      </c>
      <c r="AV29" s="40" t="s">
        <v>4</v>
      </c>
      <c r="AW29" s="42"/>
      <c r="AX29" s="43">
        <f t="array" ref="AX29">_xlfn.UNIQUE(BA29:BA38)</f>
        <v>0</v>
      </c>
      <c r="AY29" s="40" t="e">
        <f>IF(CMEAS_3="Sessions",INDEX($BB$26:$BB38,MATCH(AX29,$BA$26:$BA38,0)),
IF(CMEAS_3="Total_Item_Requests",INDEX($BC$26:$BC38,MATCH(AX29,$BA$26:$BA38,0)),
IF(CMEAS_3="Unique_Item_Requests",INDEX($BF$26:$BF38,MATCH(AX29,$BA$26:$BA38,0)),
IF(CMEAS_3="Total_Item_Investigations",INDEX($BD$26:$BD38,MATCH(AX29,$BA$26:$BA38,0)),
IF(CMEAS_3="Unique_Item_Investigations",INDEX($BE$26:$BE38,MATCH(AX29,$BA$26:$BA38,0)),
IF(CMEAS_3="User",INDEX($BG$26:$BG39,MATCH(AX29,$BA$26:$BA38,0)),
))))))</f>
        <v>#N/A</v>
      </c>
      <c r="BA29"/>
      <c r="BB29"/>
      <c r="BC29"/>
      <c r="BD29"/>
      <c r="BE29"/>
      <c r="BF29"/>
      <c r="BG29"/>
      <c r="BN29" s="51" t="s">
        <v>4</v>
      </c>
      <c r="BO29" s="53"/>
      <c r="BP29" s="54">
        <f t="array" ref="BP29">_xlfn.UNIQUE(BS29:BS38)</f>
        <v>0</v>
      </c>
      <c r="BQ29" s="51" t="e">
        <f t="shared" si="0"/>
        <v>#N/A</v>
      </c>
      <c r="BS29"/>
      <c r="BT29"/>
      <c r="BU29"/>
      <c r="BV29"/>
      <c r="BW29"/>
      <c r="BX29"/>
      <c r="BY29"/>
    </row>
    <row r="30" spans="1:77" x14ac:dyDescent="0.35">
      <c r="A30" s="9">
        <f t="array" ref="A30">LOOKUP(2,1/(C:C&lt;&gt;""),ROW(C:C))-1</f>
        <v>427</v>
      </c>
      <c r="C30" s="9" t="str">
        <f t="array" ref="C30">_xlfn.UNIQUE(F30:F39)</f>
        <v>Annals of Surgery</v>
      </c>
      <c r="D30" s="13">
        <f>IF(C_MEAS="Sessions",INDEX($G$26:G37,MATCH(C30,$F$26:$F37,0)),
IF(C_MEAS="Total_Item_Requests",INDEX($H$26:$H37,MATCH(C30,$F$26:$F37,0)),
IF(C_MEAS="Unique_Item_Requests",INDEX($I$26:$I37,MATCH(C30,$F$26:$F37,0)),
IF(C_MEAS="Total_Item_Investigations",INDEX($J$26:$J37,MATCH(C30,$F$26:$F37,0)),
IF(C_MEAS="Unique_Item_Investigations",INDEX($K$26:$K37,MATCH(C30,$F$26:$F37,0)),
IF(C_MEAS="User",INDEX($L$26:$L30,MATCH(C30,$F$26:$F37,0))
))))))</f>
        <v>3</v>
      </c>
      <c r="F30" s="96" t="s">
        <v>46</v>
      </c>
      <c r="G30" s="97">
        <v>3</v>
      </c>
      <c r="H30" s="97">
        <v>3</v>
      </c>
      <c r="I30" s="97">
        <v>3</v>
      </c>
      <c r="J30" s="97">
        <v>5</v>
      </c>
      <c r="K30" s="97">
        <v>3</v>
      </c>
      <c r="L30" s="97">
        <v>3</v>
      </c>
      <c r="O30" s="27" t="s">
        <v>12</v>
      </c>
      <c r="P30" s="22"/>
      <c r="Q30" s="23">
        <f t="array" ref="Q30">_xlfn.UNIQUE(T30:T39)</f>
        <v>0</v>
      </c>
      <c r="R30" s="21" t="e">
        <f>IF(CMEAS_1="Sessions",INDEX($U$26:U39,MATCH(Q30,$T$26:$T39,0)),
IF(CMEAS_1="Total_Item_Requests",INDEX($V$26:$V39,MATCH(Q30,$T$26:$T39,0)),
IF(CMEAS_1="Unique_Item_Requests",INDEX($Y$26:$Y39,MATCH(Q30,$T$26:$T39,0)),
IF(CMEAS_1="Total_Item_Investigations",INDEX($W$26:$W39,MATCH(Q30,$T$26:$T39,0)),
IF(CMEAS_1="Unique_Item_Investigations",INDEX($X$26:$X39,MATCH(Q30,$T$26:$T39,0)),
IF(CMEAS_1="User",INDEX($Z$26:$Z30,MATCH(Q30,$T$26:$T39,0)),
))))))</f>
        <v>#N/A</v>
      </c>
      <c r="T30"/>
      <c r="U30"/>
      <c r="V30"/>
      <c r="W30"/>
      <c r="X30"/>
      <c r="Y30"/>
      <c r="Z30"/>
      <c r="AE30" s="36" t="s">
        <v>12</v>
      </c>
      <c r="AF30" s="34"/>
      <c r="AG30" s="66">
        <f t="array" ref="AG30">_xlfn.UNIQUE(AJ30:AJ39)</f>
        <v>0</v>
      </c>
      <c r="AH30" s="32" t="e">
        <f>IF(CMEAS_2="Sessions",INDEX($AK30:$AK39,MATCH(AG30,$AJ$26:$AJ39,0)),
IF(CMEAS_2="Total_Item_Requests",INDEX($AL$26:$AL39,MATCH(AG30,$AJ$26:$AJ39,0)),
IF(CMEAS_2="Unique_Item_Requests",INDEX($AO$26:$AO39,MATCH(AG30,$AJ$26:$AJ39,0)),
IF(CMEAS_2="Total_Item_Investigations",INDEX($AM$26:$AM39,MATCH(AG30,$AJ$26:$AJ39,0)),
IF(CMEAS_2="Unique_Item_Investigations",INDEX($AN$26:$AN39,MATCH(AG30,$AJ$26:$AJ39,0)),
IF(CMEAS_2="User",INDEX($AP$26:$AP39,MATCH(AG30,$AJ$26:$AJ39,0)),
))))))</f>
        <v>#N/A</v>
      </c>
      <c r="AJ30"/>
      <c r="AK30"/>
      <c r="AL30"/>
      <c r="AM30"/>
      <c r="AN30"/>
      <c r="AO30"/>
      <c r="AP30"/>
      <c r="AV30" s="47" t="s">
        <v>12</v>
      </c>
      <c r="AW30" s="42"/>
      <c r="AX30" s="43">
        <f t="array" ref="AX30">_xlfn.UNIQUE(BA30:BA39)</f>
        <v>0</v>
      </c>
      <c r="AY30" s="40" t="e">
        <f>IF(CMEAS_3="Sessions",INDEX($BB$26:$BB39,MATCH(AX30,$BA$26:$BA39,0)),
IF(CMEAS_3="Total_Item_Requests",INDEX($BC$26:$BC39,MATCH(AX30,$BA$26:$BA39,0)),
IF(CMEAS_3="Unique_Item_Requests",INDEX($BF$26:$BF39,MATCH(AX30,$BA$26:$BA39,0)),
IF(CMEAS_3="Total_Item_Investigations",INDEX($BD$26:$BD39,MATCH(AX30,$BA$26:$BA39,0)),
IF(CMEAS_3="Unique_Item_Investigations",INDEX($BE$26:$BE39,MATCH(AX30,$BA$26:$BA39,0)),
IF(CMEAS_3="User",INDEX($BG$26:$BG40,MATCH(AX30,$BA$26:$BA39,0)),
))))))</f>
        <v>#N/A</v>
      </c>
      <c r="BA30"/>
      <c r="BB30"/>
      <c r="BC30"/>
      <c r="BD30"/>
      <c r="BE30"/>
      <c r="BF30"/>
      <c r="BG30"/>
      <c r="BN30" s="56" t="s">
        <v>12</v>
      </c>
      <c r="BO30" s="53"/>
      <c r="BP30" s="54">
        <f t="array" ref="BP30">_xlfn.UNIQUE(BS30:BS39)</f>
        <v>0</v>
      </c>
      <c r="BQ30" s="51" t="e">
        <f t="shared" si="0"/>
        <v>#N/A</v>
      </c>
      <c r="BS30"/>
      <c r="BT30"/>
      <c r="BU30"/>
      <c r="BV30"/>
      <c r="BW30"/>
      <c r="BX30"/>
      <c r="BY30"/>
    </row>
    <row r="31" spans="1:77" x14ac:dyDescent="0.35">
      <c r="C31" s="9" t="str">
        <f t="array" ref="C31">_xlfn.UNIQUE(F31:F40)</f>
        <v>Obstetrics &amp; Gynecology</v>
      </c>
      <c r="D31" s="13">
        <f>IF(C_MEAS="Sessions",INDEX($G$26:G38,MATCH(C31,$F$26:$F38,0)),
IF(C_MEAS="Total_Item_Requests",INDEX($H$26:$H38,MATCH(C31,$F$26:$F38,0)),
IF(C_MEAS="Unique_Item_Requests",INDEX($I$26:$I38,MATCH(C31,$F$26:$F38,0)),
IF(C_MEAS="Total_Item_Investigations",INDEX($J$26:$J38,MATCH(C31,$F$26:$F38,0)),
IF(C_MEAS="Unique_Item_Investigations",INDEX($K$26:$K38,MATCH(C31,$F$26:$F38,0)),
IF(C_MEAS="User",INDEX($L$26:$L31,MATCH(C31,$F$26:$F38,0))
))))))</f>
        <v>17</v>
      </c>
      <c r="F31" s="96" t="s">
        <v>45</v>
      </c>
      <c r="G31" s="97">
        <v>14</v>
      </c>
      <c r="H31" s="97">
        <v>8</v>
      </c>
      <c r="I31" s="97">
        <v>17</v>
      </c>
      <c r="J31" s="97">
        <v>22</v>
      </c>
      <c r="K31" s="97">
        <v>18</v>
      </c>
      <c r="L31" s="97">
        <v>8</v>
      </c>
      <c r="Q31" s="23">
        <f t="array" ref="Q31">_xlfn.UNIQUE(T31:T40)</f>
        <v>0</v>
      </c>
      <c r="R31" s="21" t="e">
        <f>IF(CMEAS_1="Sessions",INDEX($U$26:U40,MATCH(Q31,$T$26:$T40,0)),
IF(CMEAS_1="Total_Item_Requests",INDEX($V$26:$V40,MATCH(Q31,$T$26:$T40,0)),
IF(CMEAS_1="Unique_Item_Requests",INDEX($Y$26:$Y40,MATCH(Q31,$T$26:$T40,0)),
IF(CMEAS_1="Total_Item_Investigations",INDEX($W$26:$W40,MATCH(Q31,$T$26:$T40,0)),
IF(CMEAS_1="Unique_Item_Investigations",INDEX($X$26:$X40,MATCH(Q31,$T$26:$T40,0)),
IF(CMEAS_1="User",INDEX($Z$26:$Z31,MATCH(Q31,$T$26:$T40,0)),
))))))</f>
        <v>#N/A</v>
      </c>
      <c r="T31"/>
      <c r="U31"/>
      <c r="V31"/>
      <c r="W31"/>
      <c r="X31"/>
      <c r="Y31"/>
      <c r="Z31"/>
      <c r="AG31" s="66">
        <f t="array" ref="AG31">_xlfn.UNIQUE(AJ31:AJ40)</f>
        <v>0</v>
      </c>
      <c r="AH31" s="32" t="e">
        <f>IF(CMEAS_2="Sessions",INDEX($AK31:$AK40,MATCH(AG31,$AJ$26:$AJ40,0)),
IF(CMEAS_2="Total_Item_Requests",INDEX($AL$26:$AL40,MATCH(AG31,$AJ$26:$AJ40,0)),
IF(CMEAS_2="Unique_Item_Requests",INDEX($AO$26:$AO40,MATCH(AG31,$AJ$26:$AJ40,0)),
IF(CMEAS_2="Total_Item_Investigations",INDEX($AM$26:$AM40,MATCH(AG31,$AJ$26:$AJ40,0)),
IF(CMEAS_2="Unique_Item_Investigations",INDEX($AN$26:$AN40,MATCH(AG31,$AJ$26:$AJ40,0)),
IF(CMEAS_2="User",INDEX($AP$26:$AP40,MATCH(AG31,$AJ$26:$AJ40,0)),
))))))</f>
        <v>#N/A</v>
      </c>
      <c r="AJ31"/>
      <c r="AK31"/>
      <c r="AL31"/>
      <c r="AM31"/>
      <c r="AN31"/>
      <c r="AO31"/>
      <c r="AP31"/>
      <c r="AX31" s="43">
        <f t="array" ref="AX31">_xlfn.UNIQUE(BA31:BA40)</f>
        <v>0</v>
      </c>
      <c r="AY31" s="40" t="e">
        <f>IF(CMEAS_3="Sessions",INDEX($BB$26:$BB40,MATCH(AX31,$BA$26:$BA40,0)),
IF(CMEAS_3="Total_Item_Requests",INDEX($BC$26:$BC40,MATCH(AX31,$BA$26:$BA40,0)),
IF(CMEAS_3="Unique_Item_Requests",INDEX($BF$26:$BF40,MATCH(AX31,$BA$26:$BA40,0)),
IF(CMEAS_3="Total_Item_Investigations",INDEX($BD$26:$BD40,MATCH(AX31,$BA$26:$BA40,0)),
IF(CMEAS_3="Unique_Item_Investigations",INDEX($BE$26:$BE40,MATCH(AX31,$BA$26:$BA40,0)),
IF(CMEAS_3="User",INDEX($BG$26:$BG41,MATCH(AX31,$BA$26:$BA40,0)),
))))))</f>
        <v>#N/A</v>
      </c>
      <c r="BA31"/>
      <c r="BB31"/>
      <c r="BC31"/>
      <c r="BD31"/>
      <c r="BE31"/>
      <c r="BF31"/>
      <c r="BG31"/>
      <c r="BP31" s="54">
        <f t="array" ref="BP31">_xlfn.UNIQUE(BS31:BS40)</f>
        <v>0</v>
      </c>
      <c r="BQ31" s="51" t="e">
        <f t="shared" si="0"/>
        <v>#N/A</v>
      </c>
      <c r="BS31"/>
      <c r="BT31"/>
      <c r="BU31"/>
      <c r="BV31"/>
      <c r="BW31"/>
      <c r="BX31"/>
      <c r="BY31"/>
    </row>
    <row r="32" spans="1:77" x14ac:dyDescent="0.35">
      <c r="C32" s="9" t="str">
        <f t="array" ref="C32">_xlfn.UNIQUE(F32:F41)</f>
        <v>Clinical Obstetrics &amp; Gynecology</v>
      </c>
      <c r="D32" s="13">
        <f>IF(C_MEAS="Sessions",INDEX($G$26:G39,MATCH(C32,$F$26:$F39,0)),
IF(C_MEAS="Total_Item_Requests",INDEX($H$26:$H39,MATCH(C32,$F$26:$F39,0)),
IF(C_MEAS="Unique_Item_Requests",INDEX($I$26:$I39,MATCH(C32,$F$26:$F39,0)),
IF(C_MEAS="Total_Item_Investigations",INDEX($J$26:$J39,MATCH(C32,$F$26:$F39,0)),
IF(C_MEAS="Unique_Item_Investigations",INDEX($K$26:$K39,MATCH(C32,$F$26:$F39,0)),
IF(C_MEAS="User",INDEX($L$26:$L32,MATCH(C32,$F$26:$F39,0))
))))))</f>
        <v>3</v>
      </c>
      <c r="F32" s="96" t="s">
        <v>48</v>
      </c>
      <c r="G32" s="97">
        <v>3</v>
      </c>
      <c r="H32" s="97">
        <v>2</v>
      </c>
      <c r="I32" s="97">
        <v>3</v>
      </c>
      <c r="J32" s="97">
        <v>4</v>
      </c>
      <c r="K32" s="97">
        <v>4</v>
      </c>
      <c r="L32" s="97">
        <v>2</v>
      </c>
      <c r="O32" s="24" t="s">
        <v>29</v>
      </c>
      <c r="Q32" s="23">
        <f t="array" ref="Q32">_xlfn.UNIQUE(T32:T41)</f>
        <v>0</v>
      </c>
      <c r="R32" s="21" t="e">
        <f>IF(CMEAS_1="Sessions",INDEX($U$26:U41,MATCH(Q32,$T$26:$T41,0)),
IF(CMEAS_1="Total_Item_Requests",INDEX($V$26:$V41,MATCH(Q32,$T$26:$T41,0)),
IF(CMEAS_1="Unique_Item_Requests",INDEX($Y$26:$Y41,MATCH(Q32,$T$26:$T41,0)),
IF(CMEAS_1="Total_Item_Investigations",INDEX($W$26:$W41,MATCH(Q32,$T$26:$T41,0)),
IF(CMEAS_1="Unique_Item_Investigations",INDEX($X$26:$X41,MATCH(Q32,$T$26:$T41,0)),
IF(CMEAS_1="User",INDEX($Z$26:$Z32,MATCH(Q32,$T$26:$T41,0)),
))))))</f>
        <v>#N/A</v>
      </c>
      <c r="AE32" s="35" t="s">
        <v>29</v>
      </c>
      <c r="AG32" s="66">
        <f t="array" ref="AG32">_xlfn.UNIQUE(AJ32:AJ41)</f>
        <v>0</v>
      </c>
      <c r="AH32" s="32" t="e">
        <f>IF(CMEAS_2="Sessions",INDEX($AK32:$AK41,MATCH(AG32,$AJ$26:$AJ41,0)),
IF(CMEAS_2="Total_Item_Requests",INDEX($AL$26:$AL41,MATCH(AG32,$AJ$26:$AJ41,0)),
IF(CMEAS_2="Unique_Item_Requests",INDEX($AO$26:$AO41,MATCH(AG32,$AJ$26:$AJ41,0)),
IF(CMEAS_2="Total_Item_Investigations",INDEX($AM$26:$AM41,MATCH(AG32,$AJ$26:$AJ41,0)),
IF(CMEAS_2="Unique_Item_Investigations",INDEX($AN$26:$AN41,MATCH(AG32,$AJ$26:$AJ41,0)),
IF(CMEAS_2="User",INDEX($AP$26:$AP41,MATCH(AG32,$AJ$26:$AJ41,0)),
))))))</f>
        <v>#N/A</v>
      </c>
      <c r="AJ32"/>
      <c r="AK32"/>
      <c r="AL32"/>
      <c r="AM32"/>
      <c r="AN32"/>
      <c r="AO32"/>
      <c r="AP32"/>
      <c r="AV32" s="44" t="s">
        <v>29</v>
      </c>
      <c r="AX32" s="43">
        <f t="array" ref="AX32">_xlfn.UNIQUE(BA32:BA41)</f>
        <v>0</v>
      </c>
      <c r="AY32" s="40" t="e">
        <f>IF(CMEAS_3="Sessions",INDEX($BB$26:$BB41,MATCH(AX32,$BA$26:$BA41,0)),
IF(CMEAS_3="Total_Item_Requests",INDEX($BC$26:$BC41,MATCH(AX32,$BA$26:$BA41,0)),
IF(CMEAS_3="Unique_Item_Requests",INDEX($BF$26:$BF41,MATCH(AX32,$BA$26:$BA41,0)),
IF(CMEAS_3="Total_Item_Investigations",INDEX($BD$26:$BD41,MATCH(AX32,$BA$26:$BA41,0)),
IF(CMEAS_3="Unique_Item_Investigations",INDEX($BE$26:$BE41,MATCH(AX32,$BA$26:$BA41,0)),
IF(CMEAS_3="User",INDEX($BG$26:$BG42,MATCH(AX32,$BA$26:$BA41,0)),
))))))</f>
        <v>#N/A</v>
      </c>
      <c r="BN32" s="55" t="s">
        <v>29</v>
      </c>
      <c r="BP32" s="54">
        <f t="array" ref="BP32">_xlfn.UNIQUE(BS32:BS41)</f>
        <v>0</v>
      </c>
      <c r="BQ32" s="51" t="e">
        <f t="shared" si="0"/>
        <v>#N/A</v>
      </c>
    </row>
    <row r="33" spans="1:69" x14ac:dyDescent="0.35">
      <c r="C33" s="9" t="str">
        <f t="array" ref="C33">_xlfn.UNIQUE(F33:F42)</f>
        <v>Annals of Plastic Surgery</v>
      </c>
      <c r="D33" s="13">
        <f>IF(C_MEAS="Sessions",INDEX($G$26:G40,MATCH(C33,$F$26:$F40,0)),
IF(C_MEAS="Total_Item_Requests",INDEX($H$26:$H40,MATCH(C33,$F$26:$F40,0)),
IF(C_MEAS="Unique_Item_Requests",INDEX($I$26:$I40,MATCH(C33,$F$26:$F40,0)),
IF(C_MEAS="Total_Item_Investigations",INDEX($J$26:$J40,MATCH(C33,$F$26:$F40,0)),
IF(C_MEAS="Unique_Item_Investigations",INDEX($K$26:$K40,MATCH(C33,$F$26:$F40,0)),
IF(C_MEAS="User",INDEX($L$26:$L33,MATCH(C33,$F$26:$F40,0))
))))))</f>
        <v>1</v>
      </c>
      <c r="F33" s="96" t="s">
        <v>51</v>
      </c>
      <c r="G33" s="97">
        <v>1</v>
      </c>
      <c r="H33" s="97">
        <v>1</v>
      </c>
      <c r="I33" s="97">
        <v>1</v>
      </c>
      <c r="J33" s="97">
        <v>1</v>
      </c>
      <c r="K33" s="97">
        <v>1</v>
      </c>
      <c r="L33" s="97">
        <v>1</v>
      </c>
      <c r="O33" s="24">
        <f t="array" ref="O33">LOOKUP(2,1/(R:R&lt;&gt;""),ROW(R:R))-1</f>
        <v>27</v>
      </c>
      <c r="Q33" s="23">
        <f t="array" ref="Q33">_xlfn.UNIQUE(T33:T42)</f>
        <v>0</v>
      </c>
      <c r="R33" s="21" t="e">
        <f>IF(CMEAS_1="Sessions",INDEX($U$26:U42,MATCH(Q33,$T$26:$T42,0)),
IF(CMEAS_1="Total_Item_Requests",INDEX($V$26:$V42,MATCH(Q33,$T$26:$T42,0)),
IF(CMEAS_1="Unique_Item_Requests",INDEX($Y$26:$Y42,MATCH(Q33,$T$26:$T42,0)),
IF(CMEAS_1="Total_Item_Investigations",INDEX($W$26:$W42,MATCH(Q33,$T$26:$T42,0)),
IF(CMEAS_1="Unique_Item_Investigations",INDEX($X$26:$X42,MATCH(Q33,$T$26:$T42,0)),
IF(CMEAS_1="User",INDEX($Z$26:$Z33,MATCH(Q33,$T$26:$T42,0)),
))))))</f>
        <v>#N/A</v>
      </c>
      <c r="AE33" s="35" cm="1">
        <f t="array" ref="AE33">LOOKUP(2,1/(AH:AH&lt;&gt;""),ROW(AH:AH))</f>
        <v>29</v>
      </c>
      <c r="AG33" s="66">
        <f t="array" ref="AG33">_xlfn.UNIQUE(AJ33:AJ42)</f>
        <v>0</v>
      </c>
      <c r="AH33" s="32" t="e">
        <f>IF(CMEAS_2="Sessions",INDEX($AK33:$AK42,MATCH(AG33,$AJ$26:$AJ42,0)),
IF(CMEAS_2="Total_Item_Requests",INDEX($AL$26:$AL42,MATCH(AG33,$AJ$26:$AJ42,0)),
IF(CMEAS_2="Unique_Item_Requests",INDEX($AO$26:$AO42,MATCH(AG33,$AJ$26:$AJ42,0)),
IF(CMEAS_2="Total_Item_Investigations",INDEX($AM$26:$AM42,MATCH(AG33,$AJ$26:$AJ42,0)),
IF(CMEAS_2="Unique_Item_Investigations",INDEX($AN$26:$AN42,MATCH(AG33,$AJ$26:$AJ42,0)),
IF(CMEAS_2="User",INDEX($AP$26:$AP42,MATCH(AG33,$AJ$26:$AJ42,0)),
))))))</f>
        <v>#N/A</v>
      </c>
      <c r="AJ33"/>
      <c r="AK33"/>
      <c r="AL33"/>
      <c r="AM33"/>
      <c r="AN33"/>
      <c r="AO33"/>
      <c r="AP33"/>
      <c r="AV33" s="44">
        <f t="array" ref="AV33">LOOKUP(2,1/(AY:AY&lt;&gt;""),ROW(AY:AY))-1</f>
        <v>27</v>
      </c>
      <c r="AX33" s="43">
        <f t="array" ref="AX33">_xlfn.UNIQUE(BA33:BA42)</f>
        <v>0</v>
      </c>
      <c r="AY33" s="40" t="e">
        <f>IF(CMEAS_3="Sessions",INDEX($BB$26:$BB42,MATCH(AX33,$BA$26:$BA42,0)),
IF(CMEAS_3="Total_Item_Requests",INDEX($BC$26:$BC42,MATCH(AX33,$BA$26:$BA42,0)),
IF(CMEAS_3="Unique_Item_Requests",INDEX($BF$26:$BF42,MATCH(AX33,$BA$26:$BA42,0)),
IF(CMEAS_3="Total_Item_Investigations",INDEX($BD$26:$BD42,MATCH(AX33,$BA$26:$BA42,0)),
IF(CMEAS_3="Unique_Item_Investigations",INDEX($BE$26:$BE42,MATCH(AX33,$BA$26:$BA42,0)),
IF(CMEAS_3="User",INDEX($BG$26:$BG43,MATCH(AX33,$BA$26:$BA42,0)),
))))))</f>
        <v>#N/A</v>
      </c>
      <c r="BN33" s="55">
        <f t="array" ref="BN33">LOOKUP(2,1/(BQ:BQ&lt;&gt;""),ROW(BQ:BQ))-1</f>
        <v>26</v>
      </c>
      <c r="BP33" s="54">
        <f t="array" ref="BP33">_xlfn.UNIQUE(BS33:BS42)</f>
        <v>0</v>
      </c>
      <c r="BQ33" s="51" t="e">
        <f t="shared" si="0"/>
        <v>#N/A</v>
      </c>
    </row>
    <row r="34" spans="1:69" x14ac:dyDescent="0.35">
      <c r="A34" s="9" t="s">
        <v>30</v>
      </c>
      <c r="C34" s="9" t="str">
        <f t="array" ref="C34">_xlfn.UNIQUE(F34:F43)</f>
        <v>JBJS Open Access</v>
      </c>
      <c r="D34" s="13">
        <f>IF(C_MEAS="Sessions",INDEX($G$26:G41,MATCH(C34,$F$26:$F41,0)),
IF(C_MEAS="Total_Item_Requests",INDEX($H$26:$H41,MATCH(C34,$F$26:$F41,0)),
IF(C_MEAS="Unique_Item_Requests",INDEX($I$26:$I41,MATCH(C34,$F$26:$F41,0)),
IF(C_MEAS="Total_Item_Investigations",INDEX($J$26:$J41,MATCH(C34,$F$26:$F41,0)),
IF(C_MEAS="Unique_Item_Investigations",INDEX($K$26:$K41,MATCH(C34,$F$26:$F41,0)),
IF(C_MEAS="User",INDEX($L$26:$L34,MATCH(C34,$F$26:$F41,0))
))))))</f>
        <v>1</v>
      </c>
      <c r="F34" s="96" t="s">
        <v>49</v>
      </c>
      <c r="G34" s="97">
        <v>1</v>
      </c>
      <c r="H34" s="97">
        <v>1</v>
      </c>
      <c r="I34" s="97">
        <v>1</v>
      </c>
      <c r="J34" s="97">
        <v>1</v>
      </c>
      <c r="K34" s="97">
        <v>1</v>
      </c>
      <c r="L34" s="97">
        <v>1</v>
      </c>
      <c r="Q34" s="23">
        <f t="array" ref="Q34">_xlfn.UNIQUE(T34:T43)</f>
        <v>0</v>
      </c>
      <c r="R34" s="21" t="e">
        <f>IF(CMEAS_1="Sessions",INDEX($U$26:U43,MATCH(Q34,$T$26:$T43,0)),
IF(CMEAS_1="Total_Item_Requests",INDEX($V$26:$V43,MATCH(Q34,$T$26:$T43,0)),
IF(CMEAS_1="Unique_Item_Requests",INDEX($Y$26:$Y43,MATCH(Q34,$T$26:$T43,0)),
IF(CMEAS_1="Total_Item_Investigations",INDEX($W$26:$W43,MATCH(Q34,$T$26:$T43,0)),
IF(CMEAS_1="Unique_Item_Investigations",INDEX($X$26:$X43,MATCH(Q34,$T$26:$T43,0)),
IF(CMEAS_1="User",INDEX($Z$26:$Z34,MATCH(Q34,$T$26:$T43,0)),
))))))</f>
        <v>#N/A</v>
      </c>
      <c r="AG34" s="66">
        <f t="array" ref="AG34">_xlfn.UNIQUE(AJ34:AJ43)</f>
        <v>0</v>
      </c>
      <c r="AH34" s="32" t="e">
        <f>IF(CMEAS_2="Sessions",INDEX($AK34:$AK43,MATCH(AG34,$AJ$26:$AJ43,0)),
IF(CMEAS_2="Total_Item_Requests",INDEX($AL$26:$AL43,MATCH(AG34,$AJ$26:$AJ43,0)),
IF(CMEAS_2="Unique_Item_Requests",INDEX($AO$26:$AO43,MATCH(AG34,$AJ$26:$AJ43,0)),
IF(CMEAS_2="Total_Item_Investigations",INDEX($AM$26:$AM43,MATCH(AG34,$AJ$26:$AJ43,0)),
IF(CMEAS_2="Unique_Item_Investigations",INDEX($AN$26:$AN43,MATCH(AG34,$AJ$26:$AJ43,0)),
IF(CMEAS_2="User",INDEX($AP$26:$AP43,MATCH(AG34,$AJ$26:$AJ43,0)),
))))))</f>
        <v>#N/A</v>
      </c>
      <c r="AJ34"/>
      <c r="AK34"/>
      <c r="AL34"/>
      <c r="AM34"/>
      <c r="AN34"/>
      <c r="AO34"/>
      <c r="AP34"/>
      <c r="AX34" s="43">
        <f t="array" ref="AX34">_xlfn.UNIQUE(BA34:BA43)</f>
        <v>0</v>
      </c>
      <c r="AY34" s="40" t="e">
        <f>IF(CMEAS_3="Sessions",INDEX($BB$26:$BB43,MATCH(AX34,$BA$26:$BA43,0)),
IF(CMEAS_3="Total_Item_Requests",INDEX($BC$26:$BC43,MATCH(AX34,$BA$26:$BA43,0)),
IF(CMEAS_3="Unique_Item_Requests",INDEX($BF$26:$BF43,MATCH(AX34,$BA$26:$BA43,0)),
IF(CMEAS_3="Total_Item_Investigations",INDEX($BD$26:$BD43,MATCH(AX34,$BA$26:$BA43,0)),
IF(CMEAS_3="Unique_Item_Investigations",INDEX($BE$26:$BE43,MATCH(AX34,$BA$26:$BA43,0)),
IF(CMEAS_3="User",INDEX($BG$26:$BG44,MATCH(AX34,$BA$26:$BA43,0)),
))))))</f>
        <v>#N/A</v>
      </c>
      <c r="BP34" s="54">
        <f t="array" ref="BP34">_xlfn.UNIQUE(BS34:BS43)</f>
        <v>0</v>
      </c>
      <c r="BQ34" s="51" t="e">
        <f t="shared" si="0"/>
        <v>#N/A</v>
      </c>
    </row>
    <row r="35" spans="1:69" x14ac:dyDescent="0.35">
      <c r="A35" s="9" cm="1">
        <f t="array" ref="A35">LOOKUP(2,1/(F:F&lt;&gt;""),ROW(F:F))</f>
        <v>52</v>
      </c>
      <c r="C35" s="9" t="str">
        <f t="array" ref="C35">_xlfn.UNIQUE(F35:F44)</f>
        <v>(blank)</v>
      </c>
      <c r="D35" s="13">
        <f>IF(C_MEAS="Sessions",INDEX($G$26:G42,MATCH(C35,$F$26:$F42,0)),
IF(C_MEAS="Total_Item_Requests",INDEX($H$26:$H42,MATCH(C35,$F$26:$F42,0)),
IF(C_MEAS="Unique_Item_Requests",INDEX($I$26:$I42,MATCH(C35,$F$26:$F42,0)),
IF(C_MEAS="Total_Item_Investigations",INDEX($J$26:$J42,MATCH(C35,$F$26:$F42,0)),
IF(C_MEAS="Unique_Item_Investigations",INDEX($K$26:$K42,MATCH(C35,$F$26:$F42,0)),
IF(C_MEAS="User",INDEX($L$26:$L35,MATCH(C35,$F$26:$F42,0))
))))))</f>
        <v>0</v>
      </c>
      <c r="F35" s="96" t="s">
        <v>52</v>
      </c>
      <c r="G35" s="97"/>
      <c r="H35" s="97"/>
      <c r="I35" s="97"/>
      <c r="J35" s="97"/>
      <c r="K35" s="97"/>
      <c r="L35" s="97"/>
      <c r="Q35" s="23">
        <f t="array" ref="Q35">_xlfn.UNIQUE(T35:T44)</f>
        <v>0</v>
      </c>
      <c r="R35" s="21" t="e">
        <f>IF(CMEAS_1="Sessions",INDEX($U$26:U44,MATCH(Q35,$T$26:$T44,0)),
IF(CMEAS_1="Total_Item_Requests",INDEX($V$26:$V44,MATCH(Q35,$T$26:$T44,0)),
IF(CMEAS_1="Unique_Item_Requests",INDEX($Y$26:$Y44,MATCH(Q35,$T$26:$T44,0)),
IF(CMEAS_1="Total_Item_Investigations",INDEX($W$26:$W44,MATCH(Q35,$T$26:$T44,0)),
IF(CMEAS_1="Unique_Item_Investigations",INDEX($X$26:$X44,MATCH(Q35,$T$26:$T44,0)),
IF(CMEAS_1="User",INDEX($Z$26:$Z35,MATCH(Q35,$T$26:$T44,0)),
))))))</f>
        <v>#N/A</v>
      </c>
      <c r="AG35" s="66">
        <f t="array" ref="AG35">_xlfn.UNIQUE(AJ35:AJ44)</f>
        <v>0</v>
      </c>
      <c r="AH35" s="32" t="e">
        <f>IF(CMEAS_2="Sessions",INDEX($AK35:$AK44,MATCH(AG35,$AJ$26:$AJ44,0)),
IF(CMEAS_2="Total_Item_Requests",INDEX($AL$26:$AL44,MATCH(AG35,$AJ$26:$AJ44,0)),
IF(CMEAS_2="Unique_Item_Requests",INDEX($AO$26:$AO44,MATCH(AG35,$AJ$26:$AJ44,0)),
IF(CMEAS_2="Total_Item_Investigations",INDEX($AM$26:$AM44,MATCH(AG35,$AJ$26:$AJ44,0)),
IF(CMEAS_2="Unique_Item_Investigations",INDEX($AN$26:$AN44,MATCH(AG35,$AJ$26:$AJ44,0)),
IF(CMEAS_2="User",INDEX($AP$26:$AP44,MATCH(AG35,$AJ$26:$AJ44,0)),
))))))</f>
        <v>#N/A</v>
      </c>
      <c r="AJ35"/>
      <c r="AK35"/>
      <c r="AL35"/>
      <c r="AM35"/>
      <c r="AN35"/>
      <c r="AO35"/>
      <c r="AP35"/>
      <c r="AX35" s="43">
        <f t="array" ref="AX35">_xlfn.UNIQUE(BA35:BA44)</f>
        <v>0</v>
      </c>
      <c r="AY35" s="40" t="e">
        <f>IF(CMEAS_3="Sessions",INDEX($BB$26:$BB44,MATCH(AX35,$BA$26:$BA44,0)),
IF(CMEAS_3="Total_Item_Requests",INDEX($BC$26:$BC44,MATCH(AX35,$BA$26:$BA44,0)),
IF(CMEAS_3="Unique_Item_Requests",INDEX($BF$26:$BF44,MATCH(AX35,$BA$26:$BA44,0)),
IF(CMEAS_3="Total_Item_Investigations",INDEX($BD$26:$BD44,MATCH(AX35,$BA$26:$BA44,0)),
IF(CMEAS_3="Unique_Item_Investigations",INDEX($BE$26:$BE44,MATCH(AX35,$BA$26:$BA44,0)),
IF(CMEAS_3="User",INDEX($BG$26:$BG45,MATCH(AX35,$BA$26:$BA44,0)),
))))))</f>
        <v>#N/A</v>
      </c>
      <c r="BP35" s="54">
        <f t="array" ref="BP35">_xlfn.UNIQUE(BS35:BS44)</f>
        <v>0</v>
      </c>
      <c r="BQ35" s="51" t="e">
        <f t="shared" si="0"/>
        <v>#N/A</v>
      </c>
    </row>
    <row r="36" spans="1:69" x14ac:dyDescent="0.35">
      <c r="C36" s="9" t="str">
        <f t="array" ref="C36">_xlfn.UNIQUE(F36:F45)</f>
        <v>Current Opinion in Rheumatology</v>
      </c>
      <c r="D36" s="13">
        <f>IF(C_MEAS="Sessions",INDEX($G$26:G43,MATCH(C36,$F$26:$F43,0)),
IF(C_MEAS="Total_Item_Requests",INDEX($H$26:$H43,MATCH(C36,$F$26:$F43,0)),
IF(C_MEAS="Unique_Item_Requests",INDEX($I$26:$I43,MATCH(C36,$F$26:$F43,0)),
IF(C_MEAS="Total_Item_Investigations",INDEX($J$26:$J43,MATCH(C36,$F$26:$F43,0)),
IF(C_MEAS="Unique_Item_Investigations",INDEX($K$26:$K43,MATCH(C36,$F$26:$F43,0)),
IF(C_MEAS="User",INDEX($L$26:$L36,MATCH(C36,$F$26:$F43,0))
))))))</f>
        <v>2</v>
      </c>
      <c r="F36" s="96" t="s">
        <v>54</v>
      </c>
      <c r="G36" s="97">
        <v>2</v>
      </c>
      <c r="H36" s="97">
        <v>1</v>
      </c>
      <c r="I36" s="97">
        <v>2</v>
      </c>
      <c r="J36" s="97">
        <v>2</v>
      </c>
      <c r="K36" s="97">
        <v>2</v>
      </c>
      <c r="L36" s="97">
        <v>1</v>
      </c>
      <c r="Q36" s="23">
        <f t="array" ref="Q36">_xlfn.UNIQUE(T36:T45)</f>
        <v>0</v>
      </c>
      <c r="R36" s="21" t="e">
        <f>IF(CMEAS_1="Sessions",INDEX($U$26:U45,MATCH(Q36,$T$26:$T45,0)),
IF(CMEAS_1="Total_Item_Requests",INDEX($V$26:$V45,MATCH(Q36,$T$26:$T45,0)),
IF(CMEAS_1="Unique_Item_Requests",INDEX($Y$26:$Y45,MATCH(Q36,$T$26:$T45,0)),
IF(CMEAS_1="Total_Item_Investigations",INDEX($W$26:$W45,MATCH(Q36,$T$26:$T45,0)),
IF(CMEAS_1="Unique_Item_Investigations",INDEX($X$26:$X45,MATCH(Q36,$T$26:$T45,0)),
IF(CMEAS_1="User",INDEX($Z$26:$Z36,MATCH(Q36,$T$26:$T45,0)),
))))))</f>
        <v>#N/A</v>
      </c>
      <c r="AG36" s="66">
        <f t="array" ref="AG36">_xlfn.UNIQUE(AJ36:AJ45)</f>
        <v>0</v>
      </c>
      <c r="AH36" s="32" t="e">
        <f>IF(CMEAS_2="Sessions",INDEX($AK36:$AK45,MATCH(AG36,$AJ$26:$AJ45,0)),
IF(CMEAS_2="Total_Item_Requests",INDEX($AL$26:$AL45,MATCH(AG36,$AJ$26:$AJ45,0)),
IF(CMEAS_2="Unique_Item_Requests",INDEX($AO$26:$AO45,MATCH(AG36,$AJ$26:$AJ45,0)),
IF(CMEAS_2="Total_Item_Investigations",INDEX($AM$26:$AM45,MATCH(AG36,$AJ$26:$AJ45,0)),
IF(CMEAS_2="Unique_Item_Investigations",INDEX($AN$26:$AN45,MATCH(AG36,$AJ$26:$AJ45,0)),
IF(CMEAS_2="User",INDEX($AP$26:$AP45,MATCH(AG36,$AJ$26:$AJ45,0)),
))))))</f>
        <v>#N/A</v>
      </c>
      <c r="AJ36"/>
      <c r="AK36"/>
      <c r="AL36"/>
      <c r="AM36"/>
      <c r="AN36"/>
      <c r="AO36"/>
      <c r="AP36"/>
      <c r="AX36" s="43">
        <f t="array" ref="AX36">_xlfn.UNIQUE(BA36:BA45)</f>
        <v>0</v>
      </c>
      <c r="AY36" s="40" t="e">
        <f>IF(CMEAS_3="Sessions",INDEX($BB$26:$BB45,MATCH(AX36,$BA$26:$BA45,0)),
IF(CMEAS_3="Total_Item_Requests",INDEX($BC$26:$BC45,MATCH(AX36,$BA$26:$BA45,0)),
IF(CMEAS_3="Unique_Item_Requests",INDEX($BF$26:$BF45,MATCH(AX36,$BA$26:$BA45,0)),
IF(CMEAS_3="Total_Item_Investigations",INDEX($BD$26:$BD45,MATCH(AX36,$BA$26:$BA45,0)),
IF(CMEAS_3="Unique_Item_Investigations",INDEX($BE$26:$BE45,MATCH(AX36,$BA$26:$BA45,0)),
IF(CMEAS_3="User",INDEX($BG$26:$BG46,MATCH(AX36,$BA$26:$BA45,0)),
))))))</f>
        <v>#N/A</v>
      </c>
      <c r="BP36" s="54">
        <f t="array" ref="BP36">_xlfn.UNIQUE(BS36:BS45)</f>
        <v>0</v>
      </c>
      <c r="BQ36" s="51" t="e">
        <f t="shared" si="0"/>
        <v>#N/A</v>
      </c>
    </row>
    <row r="37" spans="1:69" x14ac:dyDescent="0.35">
      <c r="C37" s="9" t="str">
        <f t="array" ref="C37">_xlfn.UNIQUE(F37:F46)</f>
        <v>JBJS Case Connector</v>
      </c>
      <c r="D37" s="13">
        <f>IF(C_MEAS="Sessions",INDEX($G$26:G44,MATCH(C37,$F$26:$F44,0)),
IF(C_MEAS="Total_Item_Requests",INDEX($H$26:$H44,MATCH(C37,$F$26:$F44,0)),
IF(C_MEAS="Unique_Item_Requests",INDEX($I$26:$I44,MATCH(C37,$F$26:$F44,0)),
IF(C_MEAS="Total_Item_Investigations",INDEX($J$26:$J44,MATCH(C37,$F$26:$F44,0)),
IF(C_MEAS="Unique_Item_Investigations",INDEX($K$26:$K44,MATCH(C37,$F$26:$F44,0)),
IF(C_MEAS="User",INDEX($L$26:$L37,MATCH(C37,$F$26:$F44,0))
))))))</f>
        <v>1</v>
      </c>
      <c r="F37" s="96" t="s">
        <v>55</v>
      </c>
      <c r="G37" s="97">
        <v>1</v>
      </c>
      <c r="H37" s="97">
        <v>1</v>
      </c>
      <c r="I37" s="97">
        <v>1</v>
      </c>
      <c r="J37" s="97">
        <v>2</v>
      </c>
      <c r="K37" s="97">
        <v>2</v>
      </c>
      <c r="L37" s="97">
        <v>1</v>
      </c>
      <c r="O37" s="24" t="s">
        <v>30</v>
      </c>
      <c r="Q37" s="23">
        <f t="array" ref="Q37">_xlfn.UNIQUE(T37:T46)</f>
        <v>0</v>
      </c>
      <c r="R37" s="21" t="e">
        <f>IF(CMEAS_1="Sessions",INDEX($U$26:U46,MATCH(Q37,$T$26:$T46,0)),
IF(CMEAS_1="Total_Item_Requests",INDEX($V$26:$V46,MATCH(Q37,$T$26:$T46,0)),
IF(CMEAS_1="Unique_Item_Requests",INDEX($Y$26:$Y46,MATCH(Q37,$T$26:$T46,0)),
IF(CMEAS_1="Total_Item_Investigations",INDEX($W$26:$W46,MATCH(Q37,$T$26:$T46,0)),
IF(CMEAS_1="Unique_Item_Investigations",INDEX($X$26:$X46,MATCH(Q37,$T$26:$T46,0)),
IF(CMEAS_1="User",INDEX($Z$26:$Z37,MATCH(Q37,$T$26:$T46,0)),
))))))</f>
        <v>#N/A</v>
      </c>
      <c r="AE37" s="35" t="s">
        <v>30</v>
      </c>
      <c r="AG37" s="66">
        <f t="array" ref="AG37">_xlfn.UNIQUE(AJ37:AJ46)</f>
        <v>0</v>
      </c>
      <c r="AH37" s="32" t="e">
        <f>IF(CMEAS_2="Sessions",INDEX($AK37:$AK46,MATCH(AG37,$AJ$26:$AJ46,0)),
IF(CMEAS_2="Total_Item_Requests",INDEX($AL$26:$AL46,MATCH(AG37,$AJ$26:$AJ46,0)),
IF(CMEAS_2="Unique_Item_Requests",INDEX($AO$26:$AO46,MATCH(AG37,$AJ$26:$AJ46,0)),
IF(CMEAS_2="Total_Item_Investigations",INDEX($AM$26:$AM46,MATCH(AG37,$AJ$26:$AJ46,0)),
IF(CMEAS_2="Unique_Item_Investigations",INDEX($AN$26:$AN46,MATCH(AG37,$AJ$26:$AJ46,0)),
IF(CMEAS_2="User",INDEX($AP$26:$AP46,MATCH(AG37,$AJ$26:$AJ46,0)),
))))))</f>
        <v>#N/A</v>
      </c>
      <c r="AJ37"/>
      <c r="AK37"/>
      <c r="AL37"/>
      <c r="AM37"/>
      <c r="AN37"/>
      <c r="AO37"/>
      <c r="AP37"/>
      <c r="AV37" s="44" t="s">
        <v>30</v>
      </c>
      <c r="AX37" s="43">
        <f t="array" ref="AX37">_xlfn.UNIQUE(BA37:BA46)</f>
        <v>0</v>
      </c>
      <c r="AY37" s="40" t="e">
        <f>IF(CMEAS_3="Sessions",INDEX($BB$26:$BB46,MATCH(AX37,$BA$26:$BA46,0)),
IF(CMEAS_3="Total_Item_Requests",INDEX($BC$26:$BC46,MATCH(AX37,$BA$26:$BA46,0)),
IF(CMEAS_3="Unique_Item_Requests",INDEX($BF$26:$BF46,MATCH(AX37,$BA$26:$BA46,0)),
IF(CMEAS_3="Total_Item_Investigations",INDEX($BD$26:$BD46,MATCH(AX37,$BA$26:$BA46,0)),
IF(CMEAS_3="Unique_Item_Investigations",INDEX($BE$26:$BE46,MATCH(AX37,$BA$26:$BA46,0)),
IF(CMEAS_3="User",INDEX($BG$26:$BG47,MATCH(AX37,$BA$26:$BA46,0)),
))))))</f>
        <v>#N/A</v>
      </c>
      <c r="BN37" s="55" t="s">
        <v>30</v>
      </c>
      <c r="BP37" s="54">
        <f t="array" ref="BP37">_xlfn.UNIQUE(BS37:BS46)</f>
        <v>0</v>
      </c>
      <c r="BQ37" s="51" t="e">
        <f t="shared" si="0"/>
        <v>#N/A</v>
      </c>
    </row>
    <row r="38" spans="1:69" x14ac:dyDescent="0.35">
      <c r="C38" s="9" t="str">
        <f t="array" ref="C38">_xlfn.UNIQUE(F38:F47)</f>
        <v>Current Opinion in Pulmonary Medicine</v>
      </c>
      <c r="D38" s="13">
        <f>IF(C_MEAS="Sessions",INDEX($G$26:G45,MATCH(C38,$F$26:$F45,0)),
IF(C_MEAS="Total_Item_Requests",INDEX($H$26:$H45,MATCH(C38,$F$26:$F45,0)),
IF(C_MEAS="Unique_Item_Requests",INDEX($I$26:$I45,MATCH(C38,$F$26:$F45,0)),
IF(C_MEAS="Total_Item_Investigations",INDEX($J$26:$J45,MATCH(C38,$F$26:$F45,0)),
IF(C_MEAS="Unique_Item_Investigations",INDEX($K$26:$K45,MATCH(C38,$F$26:$F45,0)),
IF(C_MEAS="User",INDEX($L$26:$L38,MATCH(C38,$F$26:$F45,0))
))))))</f>
        <v>3</v>
      </c>
      <c r="F38" s="96" t="s">
        <v>56</v>
      </c>
      <c r="G38" s="97">
        <v>3</v>
      </c>
      <c r="H38" s="97">
        <v>3</v>
      </c>
      <c r="I38" s="97">
        <v>3</v>
      </c>
      <c r="J38" s="97">
        <v>4</v>
      </c>
      <c r="K38" s="97">
        <v>3</v>
      </c>
      <c r="L38" s="97">
        <v>3</v>
      </c>
      <c r="O38" s="24">
        <f t="array" ref="O38">LOOKUP(2,1/(U:U&lt;&gt;""),ROW(U:U))-1</f>
        <v>27</v>
      </c>
      <c r="Q38" s="23">
        <f t="array" ref="Q38">_xlfn.UNIQUE(T38:T47)</f>
        <v>0</v>
      </c>
      <c r="R38" s="21" t="e">
        <f>IF(CMEAS_1="Sessions",INDEX($U$26:U47,MATCH(Q38,$T$26:$T47,0)),
IF(CMEAS_1="Total_Item_Requests",INDEX($V$26:$V47,MATCH(Q38,$T$26:$T47,0)),
IF(CMEAS_1="Unique_Item_Requests",INDEX($Y$26:$Y47,MATCH(Q38,$T$26:$T47,0)),
IF(CMEAS_1="Total_Item_Investigations",INDEX($W$26:$W47,MATCH(Q38,$T$26:$T47,0)),
IF(CMEAS_1="Unique_Item_Investigations",INDEX($X$26:$X47,MATCH(Q38,$T$26:$T47,0)),
IF(CMEAS_1="User",INDEX($Z$26:$Z38,MATCH(Q38,$T$26:$T47,0)),
))))))</f>
        <v>#N/A</v>
      </c>
      <c r="AE38" s="35" cm="1">
        <f t="array" ref="AE38">LOOKUP(2,1/(AK:AK&lt;&gt;""),ROW(AK:AK))</f>
        <v>29</v>
      </c>
      <c r="AG38" s="66">
        <f t="array" ref="AG38">_xlfn.UNIQUE(AJ38:AJ47)</f>
        <v>0</v>
      </c>
      <c r="AH38" s="32" t="e">
        <f>IF(CMEAS_2="Sessions",INDEX($AK38:$AK47,MATCH(AG38,$AJ$26:$AJ47,0)),
IF(CMEAS_2="Total_Item_Requests",INDEX($AL$26:$AL47,MATCH(AG38,$AJ$26:$AJ47,0)),
IF(CMEAS_2="Unique_Item_Requests",INDEX($AO$26:$AO47,MATCH(AG38,$AJ$26:$AJ47,0)),
IF(CMEAS_2="Total_Item_Investigations",INDEX($AM$26:$AM47,MATCH(AG38,$AJ$26:$AJ47,0)),
IF(CMEAS_2="Unique_Item_Investigations",INDEX($AN$26:$AN47,MATCH(AG38,$AJ$26:$AJ47,0)),
IF(CMEAS_2="User",INDEX($AP$26:$AP47,MATCH(AG38,$AJ$26:$AJ47,0)),
))))))</f>
        <v>#N/A</v>
      </c>
      <c r="AJ38"/>
      <c r="AK38"/>
      <c r="AL38"/>
      <c r="AM38"/>
      <c r="AN38"/>
      <c r="AO38"/>
      <c r="AP38"/>
      <c r="AV38" s="44">
        <f t="array" ref="AV38">LOOKUP(2,1/(BB:BB&lt;&gt;""),ROW(BB:BB))-1</f>
        <v>27</v>
      </c>
      <c r="AX38" s="43">
        <f t="array" ref="AX38">_xlfn.UNIQUE(BA38:BA47)</f>
        <v>0</v>
      </c>
      <c r="AY38" s="40" t="e">
        <f>IF(CMEAS_3="Sessions",INDEX($BB$26:$BB47,MATCH(AX38,$BA$26:$BA47,0)),
IF(CMEAS_3="Total_Item_Requests",INDEX($BC$26:$BC47,MATCH(AX38,$BA$26:$BA47,0)),
IF(CMEAS_3="Unique_Item_Requests",INDEX($BF$26:$BF47,MATCH(AX38,$BA$26:$BA47,0)),
IF(CMEAS_3="Total_Item_Investigations",INDEX($BD$26:$BD47,MATCH(AX38,$BA$26:$BA47,0)),
IF(CMEAS_3="Unique_Item_Investigations",INDEX($BE$26:$BE47,MATCH(AX38,$BA$26:$BA47,0)),
IF(CMEAS_3="User",INDEX($BG$26:$BG48,MATCH(AX38,$BA$26:$BA47,0)),
))))))</f>
        <v>#N/A</v>
      </c>
      <c r="BN38" s="55" cm="1">
        <f t="array" ref="BN38">LOOKUP(2,1/(BT:BT&lt;&gt;""),ROW(BT:BT))</f>
        <v>27</v>
      </c>
      <c r="BP38" s="54">
        <f t="array" ref="BP38">_xlfn.UNIQUE(BS38:BS47)</f>
        <v>0</v>
      </c>
      <c r="BQ38" s="51" t="e">
        <f t="shared" si="0"/>
        <v>#N/A</v>
      </c>
    </row>
    <row r="39" spans="1:69" x14ac:dyDescent="0.35">
      <c r="C39" s="9" t="str">
        <f t="array" ref="C39">_xlfn.UNIQUE(F39:F48)</f>
        <v>Pediatric Emergency Care</v>
      </c>
      <c r="D39" s="13">
        <f>IF(C_MEAS="Sessions",INDEX($G$26:G46,MATCH(C39,$F$26:$F46,0)),
IF(C_MEAS="Total_Item_Requests",INDEX($H$26:$H46,MATCH(C39,$F$26:$F46,0)),
IF(C_MEAS="Unique_Item_Requests",INDEX($I$26:$I46,MATCH(C39,$F$26:$F46,0)),
IF(C_MEAS="Total_Item_Investigations",INDEX($J$26:$J46,MATCH(C39,$F$26:$F46,0)),
IF(C_MEAS="Unique_Item_Investigations",INDEX($K$26:$K46,MATCH(C39,$F$26:$F46,0)),
IF(C_MEAS="User",INDEX($L$26:$L39,MATCH(C39,$F$26:$F46,0))
))))))</f>
        <v>1</v>
      </c>
      <c r="F39" s="96" t="s">
        <v>53</v>
      </c>
      <c r="G39" s="97">
        <v>1</v>
      </c>
      <c r="H39" s="97">
        <v>1</v>
      </c>
      <c r="I39" s="97">
        <v>1</v>
      </c>
      <c r="J39" s="97">
        <v>1</v>
      </c>
      <c r="K39" s="97">
        <v>1</v>
      </c>
      <c r="L39" s="97">
        <v>1</v>
      </c>
      <c r="Q39" s="23">
        <f t="array" ref="Q39">_xlfn.UNIQUE(T39:T48)</f>
        <v>0</v>
      </c>
      <c r="R39" s="21" t="e">
        <f>IF(CMEAS_1="Sessions",INDEX($U$26:U48,MATCH(Q39,$T$26:$T48,0)),
IF(CMEAS_1="Total_Item_Requests",INDEX($V$26:$V48,MATCH(Q39,$T$26:$T48,0)),
IF(CMEAS_1="Unique_Item_Requests",INDEX($Y$26:$Y48,MATCH(Q39,$T$26:$T48,0)),
IF(CMEAS_1="Total_Item_Investigations",INDEX($W$26:$W48,MATCH(Q39,$T$26:$T48,0)),
IF(CMEAS_1="Unique_Item_Investigations",INDEX($X$26:$X48,MATCH(Q39,$T$26:$T48,0)),
IF(CMEAS_1="User",INDEX($Z$26:$Z39,MATCH(Q39,$T$26:$T48,0)),
))))))</f>
        <v>#N/A</v>
      </c>
      <c r="AG39" s="66">
        <f t="array" ref="AG39">_xlfn.UNIQUE(AJ39:AJ48)</f>
        <v>0</v>
      </c>
      <c r="AH39" s="32" t="e">
        <f>IF(CMEAS_2="Sessions",INDEX($AK39:$AK48,MATCH(AG39,$AJ$26:$AJ48,0)),
IF(CMEAS_2="Total_Item_Requests",INDEX($AL$26:$AL48,MATCH(AG39,$AJ$26:$AJ48,0)),
IF(CMEAS_2="Unique_Item_Requests",INDEX($AO$26:$AO48,MATCH(AG39,$AJ$26:$AJ48,0)),
IF(CMEAS_2="Total_Item_Investigations",INDEX($AM$26:$AM48,MATCH(AG39,$AJ$26:$AJ48,0)),
IF(CMEAS_2="Unique_Item_Investigations",INDEX($AN$26:$AN48,MATCH(AG39,$AJ$26:$AJ48,0)),
IF(CMEAS_2="User",INDEX($AP$26:$AP48,MATCH(AG39,$AJ$26:$AJ48,0)),
))))))</f>
        <v>#N/A</v>
      </c>
      <c r="AJ39"/>
      <c r="AK39"/>
      <c r="AL39"/>
      <c r="AM39"/>
      <c r="AN39"/>
      <c r="AO39"/>
      <c r="AP39"/>
      <c r="AX39" s="43">
        <f t="array" ref="AX39">_xlfn.UNIQUE(BA39:BA48)</f>
        <v>0</v>
      </c>
      <c r="AY39" s="40" t="e">
        <f>IF(CMEAS_3="Sessions",INDEX($BB$26:$BB48,MATCH(AX39,$BA$26:$BA48,0)),
IF(CMEAS_3="Total_Item_Requests",INDEX($BC$26:$BC48,MATCH(AX39,$BA$26:$BA48,0)),
IF(CMEAS_3="Unique_Item_Requests",INDEX($BF$26:$BF48,MATCH(AX39,$BA$26:$BA48,0)),
IF(CMEAS_3="Total_Item_Investigations",INDEX($BD$26:$BD48,MATCH(AX39,$BA$26:$BA48,0)),
IF(CMEAS_3="Unique_Item_Investigations",INDEX($BE$26:$BE48,MATCH(AX39,$BA$26:$BA48,0)),
IF(CMEAS_3="User",INDEX($BG$26:$BG49,MATCH(AX39,$BA$26:$BA48,0)),
))))))</f>
        <v>#N/A</v>
      </c>
      <c r="BP39" s="54">
        <f t="array" ref="BP39">_xlfn.UNIQUE(BS39:BS48)</f>
        <v>0</v>
      </c>
      <c r="BQ39" s="51" t="e">
        <f t="shared" si="0"/>
        <v>#N/A</v>
      </c>
    </row>
    <row r="40" spans="1:69" x14ac:dyDescent="0.35">
      <c r="C40" s="9" t="str">
        <f t="array" ref="C40">_xlfn.UNIQUE(F40:F49)</f>
        <v>Current Opinion in Obstetrics &amp; Gynecology</v>
      </c>
      <c r="D40" s="13">
        <f>IF(C_MEAS="Sessions",INDEX($G$26:G47,MATCH(C40,$F$26:$F47,0)),
IF(C_MEAS="Total_Item_Requests",INDEX($H$26:$H47,MATCH(C40,$F$26:$F47,0)),
IF(C_MEAS="Unique_Item_Requests",INDEX($I$26:$I47,MATCH(C40,$F$26:$F47,0)),
IF(C_MEAS="Total_Item_Investigations",INDEX($J$26:$J47,MATCH(C40,$F$26:$F47,0)),
IF(C_MEAS="Unique_Item_Investigations",INDEX($K$26:$K47,MATCH(C40,$F$26:$F47,0)),
IF(C_MEAS="User",INDEX($L$26:$L40,MATCH(C40,$F$26:$F47,0))
))))))</f>
        <v>1</v>
      </c>
      <c r="F40" s="96" t="s">
        <v>58</v>
      </c>
      <c r="G40" s="97">
        <v>1</v>
      </c>
      <c r="H40" s="97">
        <v>1</v>
      </c>
      <c r="I40" s="97">
        <v>1</v>
      </c>
      <c r="J40" s="97">
        <v>2</v>
      </c>
      <c r="K40" s="97">
        <v>1</v>
      </c>
      <c r="L40" s="97">
        <v>1</v>
      </c>
      <c r="Q40" s="23">
        <f t="array" ref="Q40">_xlfn.UNIQUE(T40:T49)</f>
        <v>0</v>
      </c>
      <c r="R40" s="21" t="e">
        <f>IF(CMEAS_1="Sessions",INDEX($U$26:U49,MATCH(Q40,$T$26:$T49,0)),
IF(CMEAS_1="Total_Item_Requests",INDEX($V$26:$V49,MATCH(Q40,$T$26:$T49,0)),
IF(CMEAS_1="Unique_Item_Requests",INDEX($Y$26:$Y49,MATCH(Q40,$T$26:$T49,0)),
IF(CMEAS_1="Total_Item_Investigations",INDEX($W$26:$W49,MATCH(Q40,$T$26:$T49,0)),
IF(CMEAS_1="Unique_Item_Investigations",INDEX($X$26:$X49,MATCH(Q40,$T$26:$T49,0)),
IF(CMEAS_1="User",INDEX($Z$26:$Z40,MATCH(Q40,$T$26:$T49,0)),
))))))</f>
        <v>#N/A</v>
      </c>
      <c r="AG40" s="66">
        <f t="array" ref="AG40">_xlfn.UNIQUE(AJ40:AJ49)</f>
        <v>0</v>
      </c>
      <c r="AH40" s="32" t="e">
        <f>IF(CMEAS_2="Sessions",INDEX($AK40:$AK49,MATCH(AG40,$AJ$26:$AJ49,0)),
IF(CMEAS_2="Total_Item_Requests",INDEX($AL$26:$AL49,MATCH(AG40,$AJ$26:$AJ49,0)),
IF(CMEAS_2="Unique_Item_Requests",INDEX($AO$26:$AO49,MATCH(AG40,$AJ$26:$AJ49,0)),
IF(CMEAS_2="Total_Item_Investigations",INDEX($AM$26:$AM49,MATCH(AG40,$AJ$26:$AJ49,0)),
IF(CMEAS_2="Unique_Item_Investigations",INDEX($AN$26:$AN49,MATCH(AG40,$AJ$26:$AJ49,0)),
IF(CMEAS_2="User",INDEX($AP$26:$AP49,MATCH(AG40,$AJ$26:$AJ49,0)),
))))))</f>
        <v>#N/A</v>
      </c>
      <c r="AJ40"/>
      <c r="AK40"/>
      <c r="AL40"/>
      <c r="AM40"/>
      <c r="AN40"/>
      <c r="AO40"/>
      <c r="AP40"/>
      <c r="AX40" s="43">
        <f t="array" ref="AX40">_xlfn.UNIQUE(BA40:BA49)</f>
        <v>0</v>
      </c>
      <c r="AY40" s="40" t="e">
        <f>IF(CMEAS_3="Sessions",INDEX($BB$26:$BB49,MATCH(AX40,$BA$26:$BA49,0)),
IF(CMEAS_3="Total_Item_Requests",INDEX($BC$26:$BC49,MATCH(AX40,$BA$26:$BA49,0)),
IF(CMEAS_3="Unique_Item_Requests",INDEX($BF$26:$BF49,MATCH(AX40,$BA$26:$BA49,0)),
IF(CMEAS_3="Total_Item_Investigations",INDEX($BD$26:$BD49,MATCH(AX40,$BA$26:$BA49,0)),
IF(CMEAS_3="Unique_Item_Investigations",INDEX($BE$26:$BE49,MATCH(AX40,$BA$26:$BA49,0)),
IF(CMEAS_3="User",INDEX($BG$26:$BG50,MATCH(AX40,$BA$26:$BA49,0)),
))))))</f>
        <v>#N/A</v>
      </c>
      <c r="BP40" s="54">
        <f t="array" ref="BP40">_xlfn.UNIQUE(BS40:BS49)</f>
        <v>0</v>
      </c>
      <c r="BQ40" s="51" t="e">
        <f t="shared" si="0"/>
        <v>#N/A</v>
      </c>
    </row>
    <row r="41" spans="1:69" x14ac:dyDescent="0.35">
      <c r="C41" s="9" t="str">
        <f t="array" ref="C41">_xlfn.UNIQUE(F41:F50)</f>
        <v>Current Opinion in Infectious Diseases</v>
      </c>
      <c r="D41" s="13">
        <f>IF(C_MEAS="Sessions",INDEX($G$26:G48,MATCH(C41,$F$26:$F48,0)),
IF(C_MEAS="Total_Item_Requests",INDEX($H$26:$H48,MATCH(C41,$F$26:$F48,0)),
IF(C_MEAS="Unique_Item_Requests",INDEX($I$26:$I48,MATCH(C41,$F$26:$F48,0)),
IF(C_MEAS="Total_Item_Investigations",INDEX($J$26:$J48,MATCH(C41,$F$26:$F48,0)),
IF(C_MEAS="Unique_Item_Investigations",INDEX($K$26:$K48,MATCH(C41,$F$26:$F48,0)),
IF(C_MEAS="User",INDEX($L$26:$L41,MATCH(C41,$F$26:$F48,0))
))))))</f>
        <v>1</v>
      </c>
      <c r="F41" s="96" t="s">
        <v>59</v>
      </c>
      <c r="G41" s="97">
        <v>1</v>
      </c>
      <c r="H41" s="97">
        <v>1</v>
      </c>
      <c r="I41" s="97">
        <v>1</v>
      </c>
      <c r="J41" s="97">
        <v>2</v>
      </c>
      <c r="K41" s="97">
        <v>1</v>
      </c>
      <c r="L41" s="97">
        <v>1</v>
      </c>
      <c r="Q41" s="23">
        <f t="array" ref="Q41">_xlfn.UNIQUE(T41:T50)</f>
        <v>0</v>
      </c>
      <c r="R41" s="21" t="e">
        <f>IF(CMEAS_1="Sessions",INDEX($U$26:U50,MATCH(Q41,$T$26:$T50,0)),
IF(CMEAS_1="Total_Item_Requests",INDEX($V$26:$V50,MATCH(Q41,$T$26:$T50,0)),
IF(CMEAS_1="Unique_Item_Requests",INDEX($Y$26:$Y50,MATCH(Q41,$T$26:$T50,0)),
IF(CMEAS_1="Total_Item_Investigations",INDEX($W$26:$W50,MATCH(Q41,$T$26:$T50,0)),
IF(CMEAS_1="Unique_Item_Investigations",INDEX($X$26:$X50,MATCH(Q41,$T$26:$T50,0)),
IF(CMEAS_1="User",INDEX($Z$26:$Z41,MATCH(Q41,$T$26:$T50,0)),
))))))</f>
        <v>#N/A</v>
      </c>
      <c r="AG41" s="66">
        <f t="array" ref="AG41">_xlfn.UNIQUE(AJ41:AJ50)</f>
        <v>0</v>
      </c>
      <c r="AH41" s="32" t="e">
        <f>IF(CMEAS_2="Sessions",INDEX($AK41:$AK50,MATCH(AG41,$AJ$26:$AJ50,0)),
IF(CMEAS_2="Total_Item_Requests",INDEX($AL$26:$AL50,MATCH(AG41,$AJ$26:$AJ50,0)),
IF(CMEAS_2="Unique_Item_Requests",INDEX($AO$26:$AO50,MATCH(AG41,$AJ$26:$AJ50,0)),
IF(CMEAS_2="Total_Item_Investigations",INDEX($AM$26:$AM50,MATCH(AG41,$AJ$26:$AJ50,0)),
IF(CMEAS_2="Unique_Item_Investigations",INDEX($AN$26:$AN50,MATCH(AG41,$AJ$26:$AJ50,0)),
IF(CMEAS_2="User",INDEX($AP$26:$AP50,MATCH(AG41,$AJ$26:$AJ50,0)),
))))))</f>
        <v>#N/A</v>
      </c>
      <c r="AJ41"/>
      <c r="AK41"/>
      <c r="AL41"/>
      <c r="AM41"/>
      <c r="AN41"/>
      <c r="AO41"/>
      <c r="AP41"/>
      <c r="AX41" s="43">
        <f t="array" ref="AX41">_xlfn.UNIQUE(BA41:BA50)</f>
        <v>0</v>
      </c>
      <c r="AY41" s="40" t="e">
        <f>IF(CMEAS_3="Sessions",INDEX($BB$26:$BB50,MATCH(AX41,$BA$26:$BA50,0)),
IF(CMEAS_3="Total_Item_Requests",INDEX($BC$26:$BC50,MATCH(AX41,$BA$26:$BA50,0)),
IF(CMEAS_3="Unique_Item_Requests",INDEX($BF$26:$BF50,MATCH(AX41,$BA$26:$BA50,0)),
IF(CMEAS_3="Total_Item_Investigations",INDEX($BD$26:$BD50,MATCH(AX41,$BA$26:$BA50,0)),
IF(CMEAS_3="Unique_Item_Investigations",INDEX($BE$26:$BE50,MATCH(AX41,$BA$26:$BA50,0)),
IF(CMEAS_3="User",INDEX($BG$26:$BG51,MATCH(AX41,$BA$26:$BA50,0)),
))))))</f>
        <v>#N/A</v>
      </c>
      <c r="BP41" s="54">
        <f t="array" ref="BP41">_xlfn.UNIQUE(BS41:BS50)</f>
        <v>0</v>
      </c>
      <c r="BQ41" s="51" t="e">
        <f t="shared" si="0"/>
        <v>#N/A</v>
      </c>
    </row>
    <row r="42" spans="1:69" x14ac:dyDescent="0.35">
      <c r="C42" s="9" t="str">
        <f t="array" ref="C42">_xlfn.UNIQUE(F42:F51)</f>
        <v>Current Opinion in Nephrology &amp; Hypertension</v>
      </c>
      <c r="D42" s="13">
        <f>IF(C_MEAS="Sessions",INDEX($G$26:G49,MATCH(C42,$F$26:$F49,0)),
IF(C_MEAS="Total_Item_Requests",INDEX($H$26:$H49,MATCH(C42,$F$26:$F49,0)),
IF(C_MEAS="Unique_Item_Requests",INDEX($I$26:$I49,MATCH(C42,$F$26:$F49,0)),
IF(C_MEAS="Total_Item_Investigations",INDEX($J$26:$J49,MATCH(C42,$F$26:$F49,0)),
IF(C_MEAS="Unique_Item_Investigations",INDEX($K$26:$K49,MATCH(C42,$F$26:$F49,0)),
IF(C_MEAS="User",INDEX($L$26:$L42,MATCH(C42,$F$26:$F49,0))
))))))</f>
        <v>4</v>
      </c>
      <c r="F42" s="96" t="s">
        <v>61</v>
      </c>
      <c r="G42" s="97">
        <v>4</v>
      </c>
      <c r="H42" s="97">
        <v>3</v>
      </c>
      <c r="I42" s="97">
        <v>4</v>
      </c>
      <c r="J42" s="97">
        <v>7</v>
      </c>
      <c r="K42" s="97">
        <v>4</v>
      </c>
      <c r="L42" s="97">
        <v>3</v>
      </c>
      <c r="Q42" s="23">
        <f t="array" ref="Q42">_xlfn.UNIQUE(T42:T51)</f>
        <v>0</v>
      </c>
      <c r="R42" s="21" t="e">
        <f>IF(CMEAS_1="Sessions",INDEX($U$26:U51,MATCH(Q42,$T$26:$T51,0)),
IF(CMEAS_1="Total_Item_Requests",INDEX($V$26:$V51,MATCH(Q42,$T$26:$T51,0)),
IF(CMEAS_1="Unique_Item_Requests",INDEX($Y$26:$Y51,MATCH(Q42,$T$26:$T51,0)),
IF(CMEAS_1="Total_Item_Investigations",INDEX($W$26:$W51,MATCH(Q42,$T$26:$T51,0)),
IF(CMEAS_1="Unique_Item_Investigations",INDEX($X$26:$X51,MATCH(Q42,$T$26:$T51,0)),
IF(CMEAS_1="User",INDEX($Z$26:$Z42,MATCH(Q42,$T$26:$T51,0)),
))))))</f>
        <v>#N/A</v>
      </c>
      <c r="AG42" s="66">
        <f t="array" ref="AG42">_xlfn.UNIQUE(AJ42:AJ51)</f>
        <v>0</v>
      </c>
      <c r="AH42" s="32" t="e">
        <f>IF(CMEAS_2="Sessions",INDEX($AK42:$AK51,MATCH(AG42,$AJ$26:$AJ51,0)),
IF(CMEAS_2="Total_Item_Requests",INDEX($AL$26:$AL51,MATCH(AG42,$AJ$26:$AJ51,0)),
IF(CMEAS_2="Unique_Item_Requests",INDEX($AO$26:$AO51,MATCH(AG42,$AJ$26:$AJ51,0)),
IF(CMEAS_2="Total_Item_Investigations",INDEX($AM$26:$AM51,MATCH(AG42,$AJ$26:$AJ51,0)),
IF(CMEAS_2="Unique_Item_Investigations",INDEX($AN$26:$AN51,MATCH(AG42,$AJ$26:$AJ51,0)),
IF(CMEAS_2="User",INDEX($AP$26:$AP51,MATCH(AG42,$AJ$26:$AJ51,0)),
))))))</f>
        <v>#N/A</v>
      </c>
      <c r="AJ42"/>
      <c r="AK42"/>
      <c r="AL42"/>
      <c r="AM42"/>
      <c r="AN42"/>
      <c r="AO42"/>
      <c r="AP42"/>
      <c r="AX42" s="43">
        <f t="array" ref="AX42">_xlfn.UNIQUE(BA42:BA51)</f>
        <v>0</v>
      </c>
      <c r="AY42" s="40" t="e">
        <f>IF(CMEAS_3="Sessions",INDEX($BB$26:$BB51,MATCH(AX42,$BA$26:$BA51,0)),
IF(CMEAS_3="Total_Item_Requests",INDEX($BC$26:$BC51,MATCH(AX42,$BA$26:$BA51,0)),
IF(CMEAS_3="Unique_Item_Requests",INDEX($BF$26:$BF51,MATCH(AX42,$BA$26:$BA51,0)),
IF(CMEAS_3="Total_Item_Investigations",INDEX($BD$26:$BD51,MATCH(AX42,$BA$26:$BA51,0)),
IF(CMEAS_3="Unique_Item_Investigations",INDEX($BE$26:$BE51,MATCH(AX42,$BA$26:$BA51,0)),
IF(CMEAS_3="User",INDEX($BG$26:$BG52,MATCH(AX42,$BA$26:$BA51,0)),
))))))</f>
        <v>#N/A</v>
      </c>
      <c r="BP42" s="54">
        <f t="array" ref="BP42">_xlfn.UNIQUE(BS42:BS51)</f>
        <v>0</v>
      </c>
      <c r="BQ42" s="51" t="e">
        <f t="shared" si="0"/>
        <v>#N/A</v>
      </c>
    </row>
    <row r="43" spans="1:69" x14ac:dyDescent="0.35">
      <c r="C43" s="9" t="str">
        <f t="array" ref="C43">_xlfn.UNIQUE(F43:F52)</f>
        <v>Current Opinion in Oncology</v>
      </c>
      <c r="D43" s="13">
        <f>IF(C_MEAS="Sessions",INDEX($G$26:G50,MATCH(C43,$F$26:$F50,0)),
IF(C_MEAS="Total_Item_Requests",INDEX($H$26:$H50,MATCH(C43,$F$26:$F50,0)),
IF(C_MEAS="Unique_Item_Requests",INDEX($I$26:$I50,MATCH(C43,$F$26:$F50,0)),
IF(C_MEAS="Total_Item_Investigations",INDEX($J$26:$J50,MATCH(C43,$F$26:$F50,0)),
IF(C_MEAS="Unique_Item_Investigations",INDEX($K$26:$K50,MATCH(C43,$F$26:$F50,0)),
IF(C_MEAS="User",INDEX($L$26:$L43,MATCH(C43,$F$26:$F50,0))
))))))</f>
        <v>1</v>
      </c>
      <c r="F43" s="96" t="s">
        <v>62</v>
      </c>
      <c r="G43" s="97">
        <v>1</v>
      </c>
      <c r="H43" s="97">
        <v>1</v>
      </c>
      <c r="I43" s="97">
        <v>1</v>
      </c>
      <c r="J43" s="97">
        <v>1</v>
      </c>
      <c r="K43" s="97">
        <v>1</v>
      </c>
      <c r="L43" s="97">
        <v>1</v>
      </c>
      <c r="Q43" s="23">
        <f t="array" ref="Q43">_xlfn.UNIQUE(T43:T52)</f>
        <v>0</v>
      </c>
      <c r="R43" s="21" t="e">
        <f>IF(CMEAS_1="Sessions",INDEX($U$26:U52,MATCH(Q43,$T$26:$T52,0)),
IF(CMEAS_1="Total_Item_Requests",INDEX($V$26:$V52,MATCH(Q43,$T$26:$T52,0)),
IF(CMEAS_1="Unique_Item_Requests",INDEX($Y$26:$Y52,MATCH(Q43,$T$26:$T52,0)),
IF(CMEAS_1="Total_Item_Investigations",INDEX($W$26:$W52,MATCH(Q43,$T$26:$T52,0)),
IF(CMEAS_1="Unique_Item_Investigations",INDEX($X$26:$X52,MATCH(Q43,$T$26:$T52,0)),
IF(CMEAS_1="User",INDEX($Z$26:$Z43,MATCH(Q43,$T$26:$T52,0)),
))))))</f>
        <v>#N/A</v>
      </c>
      <c r="AG43" s="66">
        <f t="array" ref="AG43">_xlfn.UNIQUE(AJ43:AJ52)</f>
        <v>0</v>
      </c>
      <c r="AH43" s="32" t="e">
        <f>IF(CMEAS_2="Sessions",INDEX($AK43:$AK52,MATCH(AG43,$AJ$26:$AJ52,0)),
IF(CMEAS_2="Total_Item_Requests",INDEX($AL$26:$AL52,MATCH(AG43,$AJ$26:$AJ52,0)),
IF(CMEAS_2="Unique_Item_Requests",INDEX($AO$26:$AO52,MATCH(AG43,$AJ$26:$AJ52,0)),
IF(CMEAS_2="Total_Item_Investigations",INDEX($AM$26:$AM52,MATCH(AG43,$AJ$26:$AJ52,0)),
IF(CMEAS_2="Unique_Item_Investigations",INDEX($AN$26:$AN52,MATCH(AG43,$AJ$26:$AJ52,0)),
IF(CMEAS_2="User",INDEX($AP$26:$AP52,MATCH(AG43,$AJ$26:$AJ52,0)),
))))))</f>
        <v>#N/A</v>
      </c>
      <c r="AJ43"/>
      <c r="AK43"/>
      <c r="AL43"/>
      <c r="AM43"/>
      <c r="AN43"/>
      <c r="AO43"/>
      <c r="AP43"/>
      <c r="AX43" s="43">
        <f t="array" ref="AX43">_xlfn.UNIQUE(BA43:BA52)</f>
        <v>0</v>
      </c>
      <c r="AY43" s="40" t="e">
        <f>IF(CMEAS_3="Sessions",INDEX($BB$26:$BB52,MATCH(AX43,$BA$26:$BA52,0)),
IF(CMEAS_3="Total_Item_Requests",INDEX($BC$26:$BC52,MATCH(AX43,$BA$26:$BA52,0)),
IF(CMEAS_3="Unique_Item_Requests",INDEX($BF$26:$BF52,MATCH(AX43,$BA$26:$BA52,0)),
IF(CMEAS_3="Total_Item_Investigations",INDEX($BD$26:$BD52,MATCH(AX43,$BA$26:$BA52,0)),
IF(CMEAS_3="Unique_Item_Investigations",INDEX($BE$26:$BE52,MATCH(AX43,$BA$26:$BA52,0)),
IF(CMEAS_3="User",INDEX($BG$26:$BG53,MATCH(AX43,$BA$26:$BA52,0)),
))))))</f>
        <v>#N/A</v>
      </c>
      <c r="BP43" s="54">
        <f t="array" ref="BP43">_xlfn.UNIQUE(BS43:BS52)</f>
        <v>0</v>
      </c>
      <c r="BQ43" s="51" t="e">
        <f t="shared" si="0"/>
        <v>#N/A</v>
      </c>
    </row>
    <row r="44" spans="1:69" x14ac:dyDescent="0.35">
      <c r="C44" s="9" t="str">
        <f t="array" ref="C44">_xlfn.UNIQUE(F44:F53)</f>
        <v>Obstetrical &amp; Gynecological Survey</v>
      </c>
      <c r="D44" s="13">
        <f>IF(C_MEAS="Sessions",INDEX($G$26:G51,MATCH(C44,$F$26:$F51,0)),
IF(C_MEAS="Total_Item_Requests",INDEX($H$26:$H51,MATCH(C44,$F$26:$F51,0)),
IF(C_MEAS="Unique_Item_Requests",INDEX($I$26:$I51,MATCH(C44,$F$26:$F51,0)),
IF(C_MEAS="Total_Item_Investigations",INDEX($J$26:$J51,MATCH(C44,$F$26:$F51,0)),
IF(C_MEAS="Unique_Item_Investigations",INDEX($K$26:$K51,MATCH(C44,$F$26:$F51,0)),
IF(C_MEAS="User",INDEX($L$26:$L44,MATCH(C44,$F$26:$F51,0))
))))))</f>
        <v>1</v>
      </c>
      <c r="F44" s="96" t="s">
        <v>63</v>
      </c>
      <c r="G44" s="97">
        <v>1</v>
      </c>
      <c r="H44" s="97">
        <v>1</v>
      </c>
      <c r="I44" s="97">
        <v>1</v>
      </c>
      <c r="J44" s="97">
        <v>3</v>
      </c>
      <c r="K44" s="97">
        <v>2</v>
      </c>
      <c r="L44" s="97">
        <v>1</v>
      </c>
      <c r="Q44" s="23">
        <f t="array" ref="Q44">_xlfn.UNIQUE(T44:T53)</f>
        <v>0</v>
      </c>
      <c r="R44" s="21" t="e">
        <f>IF(CMEAS_1="Sessions",INDEX($U$26:U53,MATCH(Q44,$T$26:$T53,0)),
IF(CMEAS_1="Total_Item_Requests",INDEX($V$26:$V53,MATCH(Q44,$T$26:$T53,0)),
IF(CMEAS_1="Unique_Item_Requests",INDEX($Y$26:$Y53,MATCH(Q44,$T$26:$T53,0)),
IF(CMEAS_1="Total_Item_Investigations",INDEX($W$26:$W53,MATCH(Q44,$T$26:$T53,0)),
IF(CMEAS_1="Unique_Item_Investigations",INDEX($X$26:$X53,MATCH(Q44,$T$26:$T53,0)),
IF(CMEAS_1="User",INDEX($Z$26:$Z44,MATCH(Q44,$T$26:$T53,0)),
))))))</f>
        <v>#N/A</v>
      </c>
      <c r="AG44" s="66">
        <f t="array" ref="AG44">_xlfn.UNIQUE(AJ44:AJ53)</f>
        <v>0</v>
      </c>
      <c r="AH44" s="32" t="e">
        <f>IF(CMEAS_2="Sessions",INDEX($AK44:$AK53,MATCH(AG44,$AJ$26:$AJ53,0)),
IF(CMEAS_2="Total_Item_Requests",INDEX($AL$26:$AL53,MATCH(AG44,$AJ$26:$AJ53,0)),
IF(CMEAS_2="Unique_Item_Requests",INDEX($AO$26:$AO53,MATCH(AG44,$AJ$26:$AJ53,0)),
IF(CMEAS_2="Total_Item_Investigations",INDEX($AM$26:$AM53,MATCH(AG44,$AJ$26:$AJ53,0)),
IF(CMEAS_2="Unique_Item_Investigations",INDEX($AN$26:$AN53,MATCH(AG44,$AJ$26:$AJ53,0)),
IF(CMEAS_2="User",INDEX($AP$26:$AP53,MATCH(AG44,$AJ$26:$AJ53,0)),
))))))</f>
        <v>#N/A</v>
      </c>
      <c r="AJ44"/>
      <c r="AK44"/>
      <c r="AL44"/>
      <c r="AM44"/>
      <c r="AN44"/>
      <c r="AO44"/>
      <c r="AP44"/>
      <c r="AX44" s="43">
        <f t="array" ref="AX44">_xlfn.UNIQUE(BA44:BA53)</f>
        <v>0</v>
      </c>
      <c r="AY44" s="40" t="e">
        <f>IF(CMEAS_3="Sessions",INDEX($BB$26:$BB53,MATCH(AX44,$BA$26:$BA53,0)),
IF(CMEAS_3="Total_Item_Requests",INDEX($BC$26:$BC53,MATCH(AX44,$BA$26:$BA53,0)),
IF(CMEAS_3="Unique_Item_Requests",INDEX($BF$26:$BF53,MATCH(AX44,$BA$26:$BA53,0)),
IF(CMEAS_3="Total_Item_Investigations",INDEX($BD$26:$BD53,MATCH(AX44,$BA$26:$BA53,0)),
IF(CMEAS_3="Unique_Item_Investigations",INDEX($BE$26:$BE53,MATCH(AX44,$BA$26:$BA53,0)),
IF(CMEAS_3="User",INDEX($BG$26:$BG54,MATCH(AX44,$BA$26:$BA53,0)),
))))))</f>
        <v>#N/A</v>
      </c>
      <c r="BP44" s="54">
        <f t="array" ref="BP44">_xlfn.UNIQUE(BS44:BS53)</f>
        <v>0</v>
      </c>
      <c r="BQ44" s="51" t="e">
        <f t="shared" si="0"/>
        <v>#N/A</v>
      </c>
    </row>
    <row r="45" spans="1:69" x14ac:dyDescent="0.35">
      <c r="C45" s="9" t="str">
        <f t="array" ref="C45">_xlfn.UNIQUE(F45:F54)</f>
        <v>Survey of Anesthesiology</v>
      </c>
      <c r="D45" s="13">
        <f>IF(C_MEAS="Sessions",INDEX($G$26:G52,MATCH(C45,$F$26:$F52,0)),
IF(C_MEAS="Total_Item_Requests",INDEX($H$26:$H52,MATCH(C45,$F$26:$F52,0)),
IF(C_MEAS="Unique_Item_Requests",INDEX($I$26:$I52,MATCH(C45,$F$26:$F52,0)),
IF(C_MEAS="Total_Item_Investigations",INDEX($J$26:$J52,MATCH(C45,$F$26:$F52,0)),
IF(C_MEAS="Unique_Item_Investigations",INDEX($K$26:$K52,MATCH(C45,$F$26:$F52,0)),
IF(C_MEAS="User",INDEX($L$26:$L45,MATCH(C45,$F$26:$F52,0))
))))))</f>
        <v>1</v>
      </c>
      <c r="F45" s="96" t="s">
        <v>64</v>
      </c>
      <c r="G45" s="97">
        <v>1</v>
      </c>
      <c r="H45" s="97">
        <v>1</v>
      </c>
      <c r="I45" s="97">
        <v>1</v>
      </c>
      <c r="J45" s="97">
        <v>2</v>
      </c>
      <c r="K45" s="97">
        <v>1</v>
      </c>
      <c r="L45" s="97">
        <v>1</v>
      </c>
      <c r="Q45" s="23">
        <f t="array" ref="Q45">_xlfn.UNIQUE(T45:T54)</f>
        <v>0</v>
      </c>
      <c r="R45" s="21" t="e">
        <f>IF(CMEAS_1="Sessions",INDEX($U$26:U54,MATCH(Q45,$T$26:$T54,0)),
IF(CMEAS_1="Total_Item_Requests",INDEX($V$26:$V54,MATCH(Q45,$T$26:$T54,0)),
IF(CMEAS_1="Unique_Item_Requests",INDEX($Y$26:$Y54,MATCH(Q45,$T$26:$T54,0)),
IF(CMEAS_1="Total_Item_Investigations",INDEX($W$26:$W54,MATCH(Q45,$T$26:$T54,0)),
IF(CMEAS_1="Unique_Item_Investigations",INDEX($X$26:$X54,MATCH(Q45,$T$26:$T54,0)),
IF(CMEAS_1="User",INDEX($Z$26:$Z45,MATCH(Q45,$T$26:$T54,0)),
))))))</f>
        <v>#N/A</v>
      </c>
      <c r="AG45" s="66">
        <f t="array" ref="AG45">_xlfn.UNIQUE(AJ45:AJ54)</f>
        <v>0</v>
      </c>
      <c r="AH45" s="32" t="e">
        <f>IF(CMEAS_2="Sessions",INDEX($AK45:$AK54,MATCH(AG45,$AJ$26:$AJ54,0)),
IF(CMEAS_2="Total_Item_Requests",INDEX($AL$26:$AL54,MATCH(AG45,$AJ$26:$AJ54,0)),
IF(CMEAS_2="Unique_Item_Requests",INDEX($AO$26:$AO54,MATCH(AG45,$AJ$26:$AJ54,0)),
IF(CMEAS_2="Total_Item_Investigations",INDEX($AM$26:$AM54,MATCH(AG45,$AJ$26:$AJ54,0)),
IF(CMEAS_2="Unique_Item_Investigations",INDEX($AN$26:$AN54,MATCH(AG45,$AJ$26:$AJ54,0)),
IF(CMEAS_2="User",INDEX($AP$26:$AP54,MATCH(AG45,$AJ$26:$AJ54,0)),
))))))</f>
        <v>#N/A</v>
      </c>
      <c r="AJ45"/>
      <c r="AK45"/>
      <c r="AL45"/>
      <c r="AM45"/>
      <c r="AN45"/>
      <c r="AO45"/>
      <c r="AP45"/>
      <c r="AX45" s="43">
        <f t="array" ref="AX45">_xlfn.UNIQUE(BA45:BA54)</f>
        <v>0</v>
      </c>
      <c r="AY45" s="40" t="e">
        <f>IF(CMEAS_3="Sessions",INDEX($BB$26:$BB54,MATCH(AX45,$BA$26:$BA54,0)),
IF(CMEAS_3="Total_Item_Requests",INDEX($BC$26:$BC54,MATCH(AX45,$BA$26:$BA54,0)),
IF(CMEAS_3="Unique_Item_Requests",INDEX($BF$26:$BF54,MATCH(AX45,$BA$26:$BA54,0)),
IF(CMEAS_3="Total_Item_Investigations",INDEX($BD$26:$BD54,MATCH(AX45,$BA$26:$BA54,0)),
IF(CMEAS_3="Unique_Item_Investigations",INDEX($BE$26:$BE54,MATCH(AX45,$BA$26:$BA54,0)),
IF(CMEAS_3="User",INDEX($BG$26:$BG55,MATCH(AX45,$BA$26:$BA54,0)),
))))))</f>
        <v>#N/A</v>
      </c>
      <c r="BP45" s="54">
        <f t="array" ref="BP45">_xlfn.UNIQUE(BS45:BS54)</f>
        <v>0</v>
      </c>
      <c r="BQ45" s="51" t="e">
        <f t="shared" si="0"/>
        <v>#N/A</v>
      </c>
    </row>
    <row r="46" spans="1:69" x14ac:dyDescent="0.35">
      <c r="C46" s="9" t="str">
        <f t="array" ref="C46">_xlfn.UNIQUE(F46:F55)</f>
        <v>Current Opinion in Gastroenterology</v>
      </c>
      <c r="D46" s="13">
        <f>IF(C_MEAS="Sessions",INDEX($G$26:G53,MATCH(C46,$F$26:$F53,0)),
IF(C_MEAS="Total_Item_Requests",INDEX($H$26:$H53,MATCH(C46,$F$26:$F53,0)),
IF(C_MEAS="Unique_Item_Requests",INDEX($I$26:$I53,MATCH(C46,$F$26:$F53,0)),
IF(C_MEAS="Total_Item_Investigations",INDEX($J$26:$J53,MATCH(C46,$F$26:$F53,0)),
IF(C_MEAS="Unique_Item_Investigations",INDEX($K$26:$K53,MATCH(C46,$F$26:$F53,0)),
IF(C_MEAS="User",INDEX($L$26:$L46,MATCH(C46,$F$26:$F53,0))
))))))</f>
        <v>3</v>
      </c>
      <c r="F46" s="96" t="s">
        <v>65</v>
      </c>
      <c r="G46" s="97">
        <v>2</v>
      </c>
      <c r="H46" s="97">
        <v>2</v>
      </c>
      <c r="I46" s="97">
        <v>3</v>
      </c>
      <c r="J46" s="97">
        <v>3</v>
      </c>
      <c r="K46" s="97">
        <v>3</v>
      </c>
      <c r="L46" s="97">
        <v>2</v>
      </c>
      <c r="Q46" s="23">
        <f t="array" ref="Q46">_xlfn.UNIQUE(T46:T55)</f>
        <v>0</v>
      </c>
      <c r="R46" s="21" t="e">
        <f>IF(CMEAS_1="Sessions",INDEX($U$26:U55,MATCH(Q46,$T$26:$T55,0)),
IF(CMEAS_1="Total_Item_Requests",INDEX($V$26:$V55,MATCH(Q46,$T$26:$T55,0)),
IF(CMEAS_1="Unique_Item_Requests",INDEX($Y$26:$Y55,MATCH(Q46,$T$26:$T55,0)),
IF(CMEAS_1="Total_Item_Investigations",INDEX($W$26:$W55,MATCH(Q46,$T$26:$T55,0)),
IF(CMEAS_1="Unique_Item_Investigations",INDEX($X$26:$X55,MATCH(Q46,$T$26:$T55,0)),
IF(CMEAS_1="User",INDEX($Z$26:$Z46,MATCH(Q46,$T$26:$T55,0)),
))))))</f>
        <v>#N/A</v>
      </c>
      <c r="AG46" s="66">
        <f t="array" ref="AG46">_xlfn.UNIQUE(AJ46:AJ55)</f>
        <v>0</v>
      </c>
      <c r="AH46" s="32" t="e">
        <f>IF(CMEAS_2="Sessions",INDEX($AK46:$AK55,MATCH(AG46,$AJ$26:$AJ55,0)),
IF(CMEAS_2="Total_Item_Requests",INDEX($AL$26:$AL55,MATCH(AG46,$AJ$26:$AJ55,0)),
IF(CMEAS_2="Unique_Item_Requests",INDEX($AO$26:$AO55,MATCH(AG46,$AJ$26:$AJ55,0)),
IF(CMEAS_2="Total_Item_Investigations",INDEX($AM$26:$AM55,MATCH(AG46,$AJ$26:$AJ55,0)),
IF(CMEAS_2="Unique_Item_Investigations",INDEX($AN$26:$AN55,MATCH(AG46,$AJ$26:$AJ55,0)),
IF(CMEAS_2="User",INDEX($AP$26:$AP55,MATCH(AG46,$AJ$26:$AJ55,0)),
))))))</f>
        <v>#N/A</v>
      </c>
      <c r="AJ46"/>
      <c r="AK46"/>
      <c r="AL46"/>
      <c r="AM46"/>
      <c r="AN46"/>
      <c r="AO46"/>
      <c r="AP46"/>
      <c r="AX46" s="43">
        <f t="array" ref="AX46">_xlfn.UNIQUE(BA46:BA55)</f>
        <v>0</v>
      </c>
      <c r="AY46" s="40" t="e">
        <f>IF(CMEAS_3="Sessions",INDEX($BB$26:$BB55,MATCH(AX46,$BA$26:$BA55,0)),
IF(CMEAS_3="Total_Item_Requests",INDEX($BC$26:$BC55,MATCH(AX46,$BA$26:$BA55,0)),
IF(CMEAS_3="Unique_Item_Requests",INDEX($BF$26:$BF55,MATCH(AX46,$BA$26:$BA55,0)),
IF(CMEAS_3="Total_Item_Investigations",INDEX($BD$26:$BD55,MATCH(AX46,$BA$26:$BA55,0)),
IF(CMEAS_3="Unique_Item_Investigations",INDEX($BE$26:$BE55,MATCH(AX46,$BA$26:$BA55,0)),
IF(CMEAS_3="User",INDEX($BG$26:$BG56,MATCH(AX46,$BA$26:$BA55,0)),
))))))</f>
        <v>#N/A</v>
      </c>
      <c r="BP46" s="54">
        <f t="array" ref="BP46">_xlfn.UNIQUE(BS46:BS55)</f>
        <v>0</v>
      </c>
      <c r="BQ46" s="51" t="e">
        <f t="shared" si="0"/>
        <v>#N/A</v>
      </c>
    </row>
    <row r="47" spans="1:69" x14ac:dyDescent="0.35">
      <c r="C47" s="9" t="str">
        <f t="array" ref="C47">_xlfn.UNIQUE(F47:F56)</f>
        <v>Current Opinion in Cardiology</v>
      </c>
      <c r="D47" s="13">
        <f>IF(C_MEAS="Sessions",INDEX($G$26:G54,MATCH(C47,$F$26:$F54,0)),
IF(C_MEAS="Total_Item_Requests",INDEX($H$26:$H54,MATCH(C47,$F$26:$F54,0)),
IF(C_MEAS="Unique_Item_Requests",INDEX($I$26:$I54,MATCH(C47,$F$26:$F54,0)),
IF(C_MEAS="Total_Item_Investigations",INDEX($J$26:$J54,MATCH(C47,$F$26:$F54,0)),
IF(C_MEAS="Unique_Item_Investigations",INDEX($K$26:$K54,MATCH(C47,$F$26:$F54,0)),
IF(C_MEAS="User",INDEX($L$26:$L47,MATCH(C47,$F$26:$F54,0))
))))))</f>
        <v>2</v>
      </c>
      <c r="F47" s="96" t="s">
        <v>66</v>
      </c>
      <c r="G47" s="97">
        <v>2</v>
      </c>
      <c r="H47" s="97">
        <v>2</v>
      </c>
      <c r="I47" s="97">
        <v>2</v>
      </c>
      <c r="J47" s="97">
        <v>2</v>
      </c>
      <c r="K47" s="97">
        <v>2</v>
      </c>
      <c r="L47" s="97">
        <v>2</v>
      </c>
      <c r="Q47" s="23">
        <f t="array" ref="Q47">_xlfn.UNIQUE(T47:T56)</f>
        <v>0</v>
      </c>
      <c r="R47" s="21" t="e">
        <f>IF(CMEAS_1="Sessions",INDEX($U$26:U56,MATCH(Q47,$T$26:$T56,0)),
IF(CMEAS_1="Total_Item_Requests",INDEX($V$26:$V56,MATCH(Q47,$T$26:$T56,0)),
IF(CMEAS_1="Unique_Item_Requests",INDEX($Y$26:$Y56,MATCH(Q47,$T$26:$T56,0)),
IF(CMEAS_1="Total_Item_Investigations",INDEX($W$26:$W56,MATCH(Q47,$T$26:$T56,0)),
IF(CMEAS_1="Unique_Item_Investigations",INDEX($X$26:$X56,MATCH(Q47,$T$26:$T56,0)),
IF(CMEAS_1="User",INDEX($Z$26:$Z47,MATCH(Q47,$T$26:$T56,0)),
))))))</f>
        <v>#N/A</v>
      </c>
      <c r="AG47" s="66">
        <f t="array" ref="AG47">_xlfn.UNIQUE(AJ47:AJ56)</f>
        <v>0</v>
      </c>
      <c r="AH47" s="32" t="e">
        <f>IF(CMEAS_2="Sessions",INDEX($AK47:$AK56,MATCH(AG47,$AJ$26:$AJ56,0)),
IF(CMEAS_2="Total_Item_Requests",INDEX($AL$26:$AL56,MATCH(AG47,$AJ$26:$AJ56,0)),
IF(CMEAS_2="Unique_Item_Requests",INDEX($AO$26:$AO56,MATCH(AG47,$AJ$26:$AJ56,0)),
IF(CMEAS_2="Total_Item_Investigations",INDEX($AM$26:$AM56,MATCH(AG47,$AJ$26:$AJ56,0)),
IF(CMEAS_2="Unique_Item_Investigations",INDEX($AN$26:$AN56,MATCH(AG47,$AJ$26:$AJ56,0)),
IF(CMEAS_2="User",INDEX($AP$26:$AP56,MATCH(AG47,$AJ$26:$AJ56,0)),
))))))</f>
        <v>#N/A</v>
      </c>
      <c r="AJ47"/>
      <c r="AK47"/>
      <c r="AL47"/>
      <c r="AM47"/>
      <c r="AN47"/>
      <c r="AO47"/>
      <c r="AP47"/>
      <c r="AX47" s="43">
        <f t="array" ref="AX47">_xlfn.UNIQUE(BA47:BA56)</f>
        <v>0</v>
      </c>
      <c r="AY47" s="40" t="e">
        <f>IF(CMEAS_3="Sessions",INDEX($BB$26:$BB56,MATCH(AX47,$BA$26:$BA56,0)),
IF(CMEAS_3="Total_Item_Requests",INDEX($BC$26:$BC56,MATCH(AX47,$BA$26:$BA56,0)),
IF(CMEAS_3="Unique_Item_Requests",INDEX($BF$26:$BF56,MATCH(AX47,$BA$26:$BA56,0)),
IF(CMEAS_3="Total_Item_Investigations",INDEX($BD$26:$BD56,MATCH(AX47,$BA$26:$BA56,0)),
IF(CMEAS_3="Unique_Item_Investigations",INDEX($BE$26:$BE56,MATCH(AX47,$BA$26:$BA56,0)),
IF(CMEAS_3="User",INDEX($BG$26:$BG57,MATCH(AX47,$BA$26:$BA56,0)),
))))))</f>
        <v>#N/A</v>
      </c>
      <c r="BP47" s="54">
        <f t="array" ref="BP47">_xlfn.UNIQUE(BS47:BS56)</f>
        <v>0</v>
      </c>
      <c r="BQ47" s="51" t="e">
        <f t="shared" si="0"/>
        <v>#N/A</v>
      </c>
    </row>
    <row r="48" spans="1:69" x14ac:dyDescent="0.35">
      <c r="C48" s="9" t="str">
        <f t="array" ref="C48">_xlfn.UNIQUE(F48:F57)</f>
        <v>Journal of Clinical Oncology</v>
      </c>
      <c r="D48" s="13">
        <f>IF(C_MEAS="Sessions",INDEX($G$26:G55,MATCH(C48,$F$26:$F55,0)),
IF(C_MEAS="Total_Item_Requests",INDEX($H$26:$H55,MATCH(C48,$F$26:$F55,0)),
IF(C_MEAS="Unique_Item_Requests",INDEX($I$26:$I55,MATCH(C48,$F$26:$F55,0)),
IF(C_MEAS="Total_Item_Investigations",INDEX($J$26:$J55,MATCH(C48,$F$26:$F55,0)),
IF(C_MEAS="Unique_Item_Investigations",INDEX($K$26:$K55,MATCH(C48,$F$26:$F55,0)),
IF(C_MEAS="User",INDEX($L$26:$L48,MATCH(C48,$F$26:$F55,0))
))))))</f>
        <v>1</v>
      </c>
      <c r="F48" s="96" t="s">
        <v>67</v>
      </c>
      <c r="G48" s="97">
        <v>1</v>
      </c>
      <c r="H48" s="97">
        <v>1</v>
      </c>
      <c r="I48" s="97">
        <v>1</v>
      </c>
      <c r="J48" s="97">
        <v>3</v>
      </c>
      <c r="K48" s="97">
        <v>2</v>
      </c>
      <c r="L48" s="97">
        <v>1</v>
      </c>
      <c r="Q48" s="23">
        <f t="array" ref="Q48">_xlfn.UNIQUE(T48:T57)</f>
        <v>0</v>
      </c>
      <c r="R48" s="21" t="e">
        <f>IF(CMEAS_1="Sessions",INDEX($U$26:U57,MATCH(Q48,$T$26:$T57,0)),
IF(CMEAS_1="Total_Item_Requests",INDEX($V$26:$V57,MATCH(Q48,$T$26:$T57,0)),
IF(CMEAS_1="Unique_Item_Requests",INDEX($Y$26:$Y57,MATCH(Q48,$T$26:$T57,0)),
IF(CMEAS_1="Total_Item_Investigations",INDEX($W$26:$W57,MATCH(Q48,$T$26:$T57,0)),
IF(CMEAS_1="Unique_Item_Investigations",INDEX($X$26:$X57,MATCH(Q48,$T$26:$T57,0)),
IF(CMEAS_1="User",INDEX($Z$26:$Z48,MATCH(Q48,$T$26:$T57,0)),
))))))</f>
        <v>#N/A</v>
      </c>
      <c r="AG48" s="66">
        <f t="array" ref="AG48">_xlfn.UNIQUE(AJ48:AJ57)</f>
        <v>0</v>
      </c>
      <c r="AH48" s="32" t="e">
        <f>IF(CMEAS_2="Sessions",INDEX($AK48:$AK57,MATCH(AG48,$AJ$26:$AJ57,0)),
IF(CMEAS_2="Total_Item_Requests",INDEX($AL$26:$AL57,MATCH(AG48,$AJ$26:$AJ57,0)),
IF(CMEAS_2="Unique_Item_Requests",INDEX($AO$26:$AO57,MATCH(AG48,$AJ$26:$AJ57,0)),
IF(CMEAS_2="Total_Item_Investigations",INDEX($AM$26:$AM57,MATCH(AG48,$AJ$26:$AJ57,0)),
IF(CMEAS_2="Unique_Item_Investigations",INDEX($AN$26:$AN57,MATCH(AG48,$AJ$26:$AJ57,0)),
IF(CMEAS_2="User",INDEX($AP$26:$AP57,MATCH(AG48,$AJ$26:$AJ57,0)),
))))))</f>
        <v>#N/A</v>
      </c>
      <c r="AJ48"/>
      <c r="AK48"/>
      <c r="AL48"/>
      <c r="AM48"/>
      <c r="AN48"/>
      <c r="AO48"/>
      <c r="AP48"/>
      <c r="AX48" s="43">
        <f t="array" ref="AX48">_xlfn.UNIQUE(BA48:BA57)</f>
        <v>0</v>
      </c>
      <c r="AY48" s="40" t="e">
        <f>IF(CMEAS_3="Sessions",INDEX($BB$26:$BB57,MATCH(AX48,$BA$26:$BA57,0)),
IF(CMEAS_3="Total_Item_Requests",INDEX($BC$26:$BC57,MATCH(AX48,$BA$26:$BA57,0)),
IF(CMEAS_3="Unique_Item_Requests",INDEX($BF$26:$BF57,MATCH(AX48,$BA$26:$BA57,0)),
IF(CMEAS_3="Total_Item_Investigations",INDEX($BD$26:$BD57,MATCH(AX48,$BA$26:$BA57,0)),
IF(CMEAS_3="Unique_Item_Investigations",INDEX($BE$26:$BE57,MATCH(AX48,$BA$26:$BA57,0)),
IF(CMEAS_3="User",INDEX($BG$26:$BG58,MATCH(AX48,$BA$26:$BA57,0)),
))))))</f>
        <v>#N/A</v>
      </c>
      <c r="BP48" s="54">
        <f t="array" ref="BP48">_xlfn.UNIQUE(BS48:BS57)</f>
        <v>0</v>
      </c>
      <c r="BQ48" s="51" t="e">
        <f t="shared" si="0"/>
        <v>#N/A</v>
      </c>
    </row>
    <row r="49" spans="3:69" x14ac:dyDescent="0.35">
      <c r="C49" s="9" t="str">
        <f t="array" ref="C49">_xlfn.UNIQUE(F49:F58)</f>
        <v>New England Journal of Medicine</v>
      </c>
      <c r="D49" s="13">
        <f>IF(C_MEAS="Sessions",INDEX($G$26:G56,MATCH(C49,$F$26:$F56,0)),
IF(C_MEAS="Total_Item_Requests",INDEX($H$26:$H56,MATCH(C49,$F$26:$F56,0)),
IF(C_MEAS="Unique_Item_Requests",INDEX($I$26:$I56,MATCH(C49,$F$26:$F56,0)),
IF(C_MEAS="Total_Item_Investigations",INDEX($J$26:$J56,MATCH(C49,$F$26:$F56,0)),
IF(C_MEAS="Unique_Item_Investigations",INDEX($K$26:$K56,MATCH(C49,$F$26:$F56,0)),
IF(C_MEAS="User",INDEX($L$26:$L49,MATCH(C49,$F$26:$F56,0))
))))))</f>
        <v>2</v>
      </c>
      <c r="F49" s="96" t="s">
        <v>68</v>
      </c>
      <c r="G49" s="97">
        <v>2</v>
      </c>
      <c r="H49" s="97">
        <v>2</v>
      </c>
      <c r="I49" s="97">
        <v>2</v>
      </c>
      <c r="J49" s="97">
        <v>8</v>
      </c>
      <c r="K49" s="97">
        <v>5</v>
      </c>
      <c r="L49" s="97">
        <v>2</v>
      </c>
      <c r="Q49" s="23">
        <f t="array" ref="Q49">_xlfn.UNIQUE(T49:T58)</f>
        <v>0</v>
      </c>
      <c r="R49" s="21" t="e">
        <f>IF(CMEAS_1="Sessions",INDEX($U$26:U58,MATCH(Q49,$T$26:$T58,0)),
IF(CMEAS_1="Total_Item_Requests",INDEX($V$26:$V58,MATCH(Q49,$T$26:$T58,0)),
IF(CMEAS_1="Unique_Item_Requests",INDEX($Y$26:$Y58,MATCH(Q49,$T$26:$T58,0)),
IF(CMEAS_1="Total_Item_Investigations",INDEX($W$26:$W58,MATCH(Q49,$T$26:$T58,0)),
IF(CMEAS_1="Unique_Item_Investigations",INDEX($X$26:$X58,MATCH(Q49,$T$26:$T58,0)),
IF(CMEAS_1="User",INDEX($Z$26:$Z49,MATCH(Q49,$T$26:$T58,0)),
))))))</f>
        <v>#N/A</v>
      </c>
      <c r="AG49" s="66">
        <f t="array" ref="AG49">_xlfn.UNIQUE(AJ49:AJ58)</f>
        <v>0</v>
      </c>
      <c r="AH49" s="32" t="e">
        <f>IF(CMEAS_2="Sessions",INDEX($AK49:$AK58,MATCH(AG49,$AJ$26:$AJ58,0)),
IF(CMEAS_2="Total_Item_Requests",INDEX($AL$26:$AL58,MATCH(AG49,$AJ$26:$AJ58,0)),
IF(CMEAS_2="Unique_Item_Requests",INDEX($AO$26:$AO58,MATCH(AG49,$AJ$26:$AJ58,0)),
IF(CMEAS_2="Total_Item_Investigations",INDEX($AM$26:$AM58,MATCH(AG49,$AJ$26:$AJ58,0)),
IF(CMEAS_2="Unique_Item_Investigations",INDEX($AN$26:$AN58,MATCH(AG49,$AJ$26:$AJ58,0)),
IF(CMEAS_2="User",INDEX($AP$26:$AP58,MATCH(AG49,$AJ$26:$AJ58,0)),
))))))</f>
        <v>#N/A</v>
      </c>
      <c r="AJ49"/>
      <c r="AK49"/>
      <c r="AL49"/>
      <c r="AM49"/>
      <c r="AN49"/>
      <c r="AO49"/>
      <c r="AP49"/>
      <c r="AX49" s="43">
        <f t="array" ref="AX49">_xlfn.UNIQUE(BA49:BA58)</f>
        <v>0</v>
      </c>
      <c r="AY49" s="40" t="e">
        <f>IF(CMEAS_3="Sessions",INDEX($BB$26:$BB58,MATCH(AX49,$BA$26:$BA58,0)),
IF(CMEAS_3="Total_Item_Requests",INDEX($BC$26:$BC58,MATCH(AX49,$BA$26:$BA58,0)),
IF(CMEAS_3="Unique_Item_Requests",INDEX($BF$26:$BF58,MATCH(AX49,$BA$26:$BA58,0)),
IF(CMEAS_3="Total_Item_Investigations",INDEX($BD$26:$BD58,MATCH(AX49,$BA$26:$BA58,0)),
IF(CMEAS_3="Unique_Item_Investigations",INDEX($BE$26:$BE58,MATCH(AX49,$BA$26:$BA58,0)),
IF(CMEAS_3="User",INDEX($BG$26:$BG59,MATCH(AX49,$BA$26:$BA58,0)),
))))))</f>
        <v>#N/A</v>
      </c>
      <c r="BP49" s="54">
        <f t="array" ref="BP49">_xlfn.UNIQUE(BS49:BS58)</f>
        <v>0</v>
      </c>
      <c r="BQ49" s="51" t="e">
        <f t="shared" si="0"/>
        <v>#N/A</v>
      </c>
    </row>
    <row r="50" spans="3:69" x14ac:dyDescent="0.35">
      <c r="C50" s="9" t="str">
        <f t="array" ref="C50">_xlfn.UNIQUE(F50:F58)</f>
        <v>Current Opinion in Anaesthesiology</v>
      </c>
      <c r="D50" s="13">
        <f>IF(C_MEAS="Sessions",INDEX($G$26:G57,MATCH(C50,$F$26:$F57,0)),
IF(C_MEAS="Total_Item_Requests",INDEX($H$26:$H57,MATCH(C50,$F$26:$F57,0)),
IF(C_MEAS="Unique_Item_Requests",INDEX($I$26:$I57,MATCH(C50,$F$26:$F57,0)),
IF(C_MEAS="Total_Item_Investigations",INDEX($J$26:$J57,MATCH(C50,$F$26:$F57,0)),
IF(C_MEAS="Unique_Item_Investigations",INDEX($K$26:$K57,MATCH(C50,$F$26:$F57,0)),
IF(C_MEAS="User",INDEX($L$26:$L50,MATCH(C50,$F$26:$F57,0))
))))))</f>
        <v>3</v>
      </c>
      <c r="F50" s="96" t="s">
        <v>69</v>
      </c>
      <c r="G50" s="97">
        <v>1</v>
      </c>
      <c r="H50" s="97">
        <v>1</v>
      </c>
      <c r="I50" s="97">
        <v>3</v>
      </c>
      <c r="J50" s="97">
        <v>5</v>
      </c>
      <c r="K50" s="97">
        <v>4</v>
      </c>
      <c r="L50" s="97">
        <v>1</v>
      </c>
      <c r="Q50" s="23">
        <f t="array" ref="Q50">_xlfn.UNIQUE(T50:T58)</f>
        <v>0</v>
      </c>
      <c r="R50" s="21" t="e">
        <f>IF(CMEAS_1="Sessions",INDEX($U$26:U59,MATCH(Q50,$T$26:$T59,0)),
IF(CMEAS_1="Total_Item_Requests",INDEX($V$26:$V59,MATCH(Q50,$T$26:$T59,0)),
IF(CMEAS_1="Unique_Item_Requests",INDEX($Y$26:$Y59,MATCH(Q50,$T$26:$T59,0)),
IF(CMEAS_1="Total_Item_Investigations",INDEX($W$26:$W59,MATCH(Q50,$T$26:$T59,0)),
IF(CMEAS_1="Unique_Item_Investigations",INDEX($X$26:$X59,MATCH(Q50,$T$26:$T59,0)),
IF(CMEAS_1="User",INDEX($Z$26:$Z50,MATCH(Q50,$T$26:$T59,0)),
))))))</f>
        <v>#N/A</v>
      </c>
      <c r="AG50" s="66">
        <f t="array" ref="AG50">_xlfn.UNIQUE(AJ50:AJ58)</f>
        <v>0</v>
      </c>
      <c r="AH50" s="32" t="e">
        <f>IF(CMEAS_2="Sessions",INDEX($AK50:$AK59,MATCH(AG50,$AJ$26:$AJ59,0)),
IF(CMEAS_2="Total_Item_Requests",INDEX($AL$26:$AL59,MATCH(AG50,$AJ$26:$AJ59,0)),
IF(CMEAS_2="Unique_Item_Requests",INDEX($AO$26:$AO59,MATCH(AG50,$AJ$26:$AJ59,0)),
IF(CMEAS_2="Total_Item_Investigations",INDEX($AM$26:$AM59,MATCH(AG50,$AJ$26:$AJ59,0)),
IF(CMEAS_2="Unique_Item_Investigations",INDEX($AN$26:$AN59,MATCH(AG50,$AJ$26:$AJ59,0)),
IF(CMEAS_2="User",INDEX($AP$26:$AP59,MATCH(AG50,$AJ$26:$AJ59,0)),
))))))</f>
        <v>#N/A</v>
      </c>
      <c r="AJ50"/>
      <c r="AK50"/>
      <c r="AL50"/>
      <c r="AM50"/>
      <c r="AN50"/>
      <c r="AO50"/>
      <c r="AP50"/>
      <c r="AX50" s="43">
        <f t="array" ref="AX50">_xlfn.UNIQUE(BA50:BA58)</f>
        <v>0</v>
      </c>
      <c r="AY50" s="40" t="e">
        <f>IF(CMEAS_3="Sessions",INDEX($BB$26:$BB59,MATCH(AX50,$BA$26:$BA59,0)),
IF(CMEAS_3="Total_Item_Requests",INDEX($BC$26:$BC59,MATCH(AX50,$BA$26:$BA59,0)),
IF(CMEAS_3="Unique_Item_Requests",INDEX($BF$26:$BF59,MATCH(AX50,$BA$26:$BA59,0)),
IF(CMEAS_3="Total_Item_Investigations",INDEX($BD$26:$BD59,MATCH(AX50,$BA$26:$BA59,0)),
IF(CMEAS_3="Unique_Item_Investigations",INDEX($BE$26:$BE59,MATCH(AX50,$BA$26:$BA59,0)),
IF(CMEAS_3="User",INDEX($BG$26:$BG60,MATCH(AX50,$BA$26:$BA59,0)),
))))))</f>
        <v>#N/A</v>
      </c>
      <c r="BP50" s="54">
        <f t="array" ref="BP50">_xlfn.UNIQUE(BS50:BS58)</f>
        <v>0</v>
      </c>
      <c r="BQ50" s="51" t="e">
        <f t="shared" si="0"/>
        <v>#N/A</v>
      </c>
    </row>
    <row r="51" spans="3:69" x14ac:dyDescent="0.35">
      <c r="C51" s="9" t="str">
        <f t="array" ref="C51">_xlfn.UNIQUE(F51:F58)</f>
        <v>Journal of Bronchology &amp; Interventional Pulmonology</v>
      </c>
      <c r="D51" s="13">
        <f>IF(C_MEAS="Sessions",INDEX($G$26:G58,MATCH(C51,$F$26:$F58,0)),
IF(C_MEAS="Total_Item_Requests",INDEX($H$26:$H58,MATCH(C51,$F$26:$F58,0)),
IF(C_MEAS="Unique_Item_Requests",INDEX($I$26:$I58,MATCH(C51,$F$26:$F58,0)),
IF(C_MEAS="Total_Item_Investigations",INDEX($J$26:$J58,MATCH(C51,$F$26:$F58,0)),
IF(C_MEAS="Unique_Item_Investigations",INDEX($K$26:$K58,MATCH(C51,$F$26:$F58,0)),
IF(C_MEAS="User",INDEX($L$26:$L51,MATCH(C51,$F$26:$F58,0))
))))))</f>
        <v>1</v>
      </c>
      <c r="F51" s="96" t="s">
        <v>70</v>
      </c>
      <c r="G51" s="97">
        <v>1</v>
      </c>
      <c r="H51" s="97">
        <v>1</v>
      </c>
      <c r="I51" s="97">
        <v>1</v>
      </c>
      <c r="J51" s="97">
        <v>1</v>
      </c>
      <c r="K51" s="97">
        <v>1</v>
      </c>
      <c r="L51" s="97">
        <v>1</v>
      </c>
      <c r="Q51" s="23">
        <f t="array" ref="Q51">_xlfn.UNIQUE(T51:T58)</f>
        <v>0</v>
      </c>
      <c r="R51" s="21" t="e">
        <f>IF(CMEAS_1="Sessions",INDEX($U$26:U60,MATCH(Q51,$T$26:$T60,0)),
IF(CMEAS_1="Total_Item_Requests",INDEX($V$26:$V60,MATCH(Q51,$T$26:$T60,0)),
IF(CMEAS_1="Unique_Item_Requests",INDEX($Y$26:$Y60,MATCH(Q51,$T$26:$T60,0)),
IF(CMEAS_1="Total_Item_Investigations",INDEX($W$26:$W60,MATCH(Q51,$T$26:$T60,0)),
IF(CMEAS_1="Unique_Item_Investigations",INDEX($X$26:$X60,MATCH(Q51,$T$26:$T60,0)),
IF(CMEAS_1="User",INDEX($Z$26:$Z51,MATCH(Q51,$T$26:$T60,0)),
))))))</f>
        <v>#N/A</v>
      </c>
      <c r="AG51" s="66">
        <f t="array" ref="AG51">_xlfn.UNIQUE(AJ51:AJ58)</f>
        <v>0</v>
      </c>
      <c r="AH51" s="32" t="e">
        <f>IF(CMEAS_2="Sessions",INDEX($AK51:$AK60,MATCH(AG51,$AJ$26:$AJ60,0)),
IF(CMEAS_2="Total_Item_Requests",INDEX($AL$26:$AL60,MATCH(AG51,$AJ$26:$AJ60,0)),
IF(CMEAS_2="Unique_Item_Requests",INDEX($AO$26:$AO60,MATCH(AG51,$AJ$26:$AJ60,0)),
IF(CMEAS_2="Total_Item_Investigations",INDEX($AM$26:$AM60,MATCH(AG51,$AJ$26:$AJ60,0)),
IF(CMEAS_2="Unique_Item_Investigations",INDEX($AN$26:$AN60,MATCH(AG51,$AJ$26:$AJ60,0)),
IF(CMEAS_2="User",INDEX($AP$26:$AP60,MATCH(AG51,$AJ$26:$AJ60,0)),
))))))</f>
        <v>#N/A</v>
      </c>
      <c r="AJ51"/>
      <c r="AK51"/>
      <c r="AL51"/>
      <c r="AM51"/>
      <c r="AN51"/>
      <c r="AO51"/>
      <c r="AP51"/>
      <c r="AX51" s="43">
        <f t="array" ref="AX51">_xlfn.UNIQUE(BA51:BA58)</f>
        <v>0</v>
      </c>
      <c r="AY51" s="40" t="e">
        <f>IF(CMEAS_3="Sessions",INDEX($BB$26:$BB60,MATCH(AX51,$BA$26:$BA60,0)),
IF(CMEAS_3="Total_Item_Requests",INDEX($BC$26:$BC60,MATCH(AX51,$BA$26:$BA60,0)),
IF(CMEAS_3="Unique_Item_Requests",INDEX($BF$26:$BF60,MATCH(AX51,$BA$26:$BA60,0)),
IF(CMEAS_3="Total_Item_Investigations",INDEX($BD$26:$BD60,MATCH(AX51,$BA$26:$BA60,0)),
IF(CMEAS_3="Unique_Item_Investigations",INDEX($BE$26:$BE60,MATCH(AX51,$BA$26:$BA60,0)),
IF(CMEAS_3="User",INDEX($BG$26:$BG61,MATCH(AX51,$BA$26:$BA60,0)),
))))))</f>
        <v>#N/A</v>
      </c>
      <c r="BP51" s="54">
        <f t="array" ref="BP51">_xlfn.UNIQUE(BS51:BS58)</f>
        <v>0</v>
      </c>
      <c r="BQ51" s="51" t="e">
        <f t="shared" si="0"/>
        <v>#N/A</v>
      </c>
    </row>
    <row r="52" spans="3:69" x14ac:dyDescent="0.35">
      <c r="C52" s="9" t="str">
        <f t="array" ref="C52">_xlfn.UNIQUE(F52:F58)</f>
        <v>A&amp;A Practice</v>
      </c>
      <c r="D52" s="13">
        <f>IF(C_MEAS="Sessions",INDEX($G$26:G58,MATCH(C52,$F$26:$F58,0)),
IF(C_MEAS="Total_Item_Requests",INDEX($H$26:$H58,MATCH(C52,$F$26:$F58,0)),
IF(C_MEAS="Unique_Item_Requests",INDEX($I$26:$I58,MATCH(C52,$F$26:$F58,0)),
IF(C_MEAS="Total_Item_Investigations",INDEX($J$26:$J58,MATCH(C52,$F$26:$F58,0)),
IF(C_MEAS="Unique_Item_Investigations",INDEX($K$26:$K58,MATCH(C52,$F$26:$F58,0)),
IF(C_MEAS="User",INDEX($L$26:$L52,MATCH(C52,$F$26:$F58,0))
))))))</f>
        <v>2</v>
      </c>
      <c r="F52" s="96" t="s">
        <v>71</v>
      </c>
      <c r="G52" s="97">
        <v>2</v>
      </c>
      <c r="H52" s="97">
        <v>2</v>
      </c>
      <c r="I52" s="97">
        <v>2</v>
      </c>
      <c r="J52" s="97">
        <v>2</v>
      </c>
      <c r="K52" s="97">
        <v>2</v>
      </c>
      <c r="L52" s="97">
        <v>2</v>
      </c>
      <c r="Q52" s="23">
        <f t="array" ref="Q52">_xlfn.UNIQUE(T52:T58)</f>
        <v>0</v>
      </c>
      <c r="R52" s="21" t="e">
        <f>IF(CMEAS_1="Sessions",INDEX($U$26:U61,MATCH(Q52,$T$26:$T61,0)),
IF(CMEAS_1="Total_Item_Requests",INDEX($V$26:$V61,MATCH(Q52,$T$26:$T61,0)),
IF(CMEAS_1="Unique_Item_Requests",INDEX($Y$26:$Y61,MATCH(Q52,$T$26:$T61,0)),
IF(CMEAS_1="Total_Item_Investigations",INDEX($W$26:$W61,MATCH(Q52,$T$26:$T61,0)),
IF(CMEAS_1="Unique_Item_Investigations",INDEX($X$26:$X61,MATCH(Q52,$T$26:$T61,0)),
IF(CMEAS_1="User",INDEX($Z$26:$Z52,MATCH(Q52,$T$26:$T61,0)),
))))))</f>
        <v>#N/A</v>
      </c>
      <c r="AG52" s="66">
        <f t="array" ref="AG52">_xlfn.UNIQUE(AJ52:AJ58)</f>
        <v>0</v>
      </c>
      <c r="AH52" s="32" t="e">
        <f>IF(CMEAS_2="Sessions",INDEX($AK52:$AK61,MATCH(AG52,$AJ$26:$AJ61,0)),
IF(CMEAS_2="Total_Item_Requests",INDEX($AL$26:$AL61,MATCH(AG52,$AJ$26:$AJ61,0)),
IF(CMEAS_2="Unique_Item_Requests",INDEX($AO$26:$AO61,MATCH(AG52,$AJ$26:$AJ61,0)),
IF(CMEAS_2="Total_Item_Investigations",INDEX($AM$26:$AM61,MATCH(AG52,$AJ$26:$AJ61,0)),
IF(CMEAS_2="Unique_Item_Investigations",INDEX($AN$26:$AN61,MATCH(AG52,$AJ$26:$AJ61,0)),
IF(CMEAS_2="User",INDEX($AP$26:$AP61,MATCH(AG52,$AJ$26:$AJ61,0)),
))))))</f>
        <v>#N/A</v>
      </c>
      <c r="AJ52"/>
      <c r="AK52"/>
      <c r="AL52"/>
      <c r="AM52"/>
      <c r="AN52"/>
      <c r="AO52"/>
      <c r="AP52"/>
      <c r="AX52" s="43">
        <f t="array" ref="AX52">_xlfn.UNIQUE(BA52:BA58)</f>
        <v>0</v>
      </c>
      <c r="AY52" s="40" t="e">
        <f>IF(CMEAS_3="Sessions",INDEX($BB$26:$BB61,MATCH(AX52,$BA$26:$BA61,0)),
IF(CMEAS_3="Total_Item_Requests",INDEX($BC$26:$BC61,MATCH(AX52,$BA$26:$BA61,0)),
IF(CMEAS_3="Unique_Item_Requests",INDEX($BF$26:$BF61,MATCH(AX52,$BA$26:$BA61,0)),
IF(CMEAS_3="Total_Item_Investigations",INDEX($BD$26:$BD61,MATCH(AX52,$BA$26:$BA61,0)),
IF(CMEAS_3="Unique_Item_Investigations",INDEX($BE$26:$BE61,MATCH(AX52,$BA$26:$BA61,0)),
IF(CMEAS_3="User",INDEX($BG$26:$BG62,MATCH(AX52,$BA$26:$BA61,0)),
))))))</f>
        <v>#N/A</v>
      </c>
      <c r="BP52" s="54">
        <f t="array" ref="BP52">_xlfn.UNIQUE(BS52:BS58)</f>
        <v>0</v>
      </c>
      <c r="BQ52" s="51" t="e">
        <f t="shared" si="0"/>
        <v>#N/A</v>
      </c>
    </row>
    <row r="53" spans="3:69" x14ac:dyDescent="0.35">
      <c r="C53" s="9">
        <f t="array" ref="C53">_xlfn.UNIQUE(F53:F58)</f>
        <v>0</v>
      </c>
      <c r="D53" s="13" t="e">
        <f>IF(C_MEAS="Sessions",INDEX($G$26:G58,MATCH(C53,$F$26:$F58,0)),
IF(C_MEAS="Total_Item_Requests",INDEX($H$26:$H58,MATCH(C53,$F$26:$F58,0)),
IF(C_MEAS="Unique_Item_Requests",INDEX($I$26:$I58,MATCH(C53,$F$26:$F58,0)),
IF(C_MEAS="Total_Item_Investigations",INDEX($J$26:$J58,MATCH(C53,$F$26:$F58,0)),
IF(C_MEAS="Unique_Item_Investigations",INDEX($K$26:$K58,MATCH(C53,$F$26:$F58,0)),
IF(C_MEAS="User",INDEX($L$26:$L53,MATCH(C53,$F$26:$F58,0))
))))))</f>
        <v>#N/A</v>
      </c>
      <c r="F53"/>
      <c r="G53"/>
      <c r="H53"/>
      <c r="I53"/>
      <c r="J53"/>
      <c r="K53"/>
      <c r="L53"/>
      <c r="Q53" s="23">
        <f t="array" ref="Q53">_xlfn.UNIQUE(T53:T58)</f>
        <v>0</v>
      </c>
      <c r="R53" s="21" t="e">
        <f>IF(CMEAS_1="Sessions",INDEX($U$26:U62,MATCH(Q53,$T$26:$T62,0)),
IF(CMEAS_1="Total_Item_Requests",INDEX($V$26:$V62,MATCH(Q53,$T$26:$T62,0)),
IF(CMEAS_1="Unique_Item_Requests",INDEX($Y$26:$Y62,MATCH(Q53,$T$26:$T62,0)),
IF(CMEAS_1="Total_Item_Investigations",INDEX($W$26:$W62,MATCH(Q53,$T$26:$T62,0)),
IF(CMEAS_1="Unique_Item_Investigations",INDEX($X$26:$X62,MATCH(Q53,$T$26:$T62,0)),
IF(CMEAS_1="User",INDEX($Z$26:$Z53,MATCH(Q53,$T$26:$T62,0)),
))))))</f>
        <v>#N/A</v>
      </c>
      <c r="AG53" s="66">
        <f t="array" ref="AG53">_xlfn.UNIQUE(AJ53:AJ58)</f>
        <v>0</v>
      </c>
      <c r="AH53" s="32" t="e">
        <f>IF(CMEAS_2="Sessions",INDEX($AK53:$AK62,MATCH(AG53,$AJ$26:$AJ62,0)),
IF(CMEAS_2="Total_Item_Requests",INDEX($AL$26:$AL62,MATCH(AG53,$AJ$26:$AJ62,0)),
IF(CMEAS_2="Unique_Item_Requests",INDEX($AO$26:$AO62,MATCH(AG53,$AJ$26:$AJ62,0)),
IF(CMEAS_2="Total_Item_Investigations",INDEX($AM$26:$AM62,MATCH(AG53,$AJ$26:$AJ62,0)),
IF(CMEAS_2="Unique_Item_Investigations",INDEX($AN$26:$AN62,MATCH(AG53,$AJ$26:$AJ62,0)),
IF(CMEAS_2="User",INDEX($AP$26:$AP62,MATCH(AG53,$AJ$26:$AJ62,0)),
))))))</f>
        <v>#N/A</v>
      </c>
      <c r="AJ53"/>
      <c r="AK53"/>
      <c r="AL53"/>
      <c r="AM53"/>
      <c r="AN53"/>
      <c r="AO53"/>
      <c r="AP53"/>
      <c r="AX53" s="43">
        <f t="array" ref="AX53">_xlfn.UNIQUE(BA53:BA58)</f>
        <v>0</v>
      </c>
      <c r="AY53" s="40" t="e">
        <f>IF(CMEAS_3="Sessions",INDEX($BB$26:$BB62,MATCH(AX53,$BA$26:$BA62,0)),
IF(CMEAS_3="Total_Item_Requests",INDEX($BC$26:$BC62,MATCH(AX53,$BA$26:$BA62,0)),
IF(CMEAS_3="Unique_Item_Requests",INDEX($BF$26:$BF62,MATCH(AX53,$BA$26:$BA62,0)),
IF(CMEAS_3="Total_Item_Investigations",INDEX($BD$26:$BD62,MATCH(AX53,$BA$26:$BA62,0)),
IF(CMEAS_3="Unique_Item_Investigations",INDEX($BE$26:$BE62,MATCH(AX53,$BA$26:$BA62,0)),
IF(CMEAS_3="User",INDEX($BG$26:$BG63,MATCH(AX53,$BA$26:$BA62,0)),
))))))</f>
        <v>#N/A</v>
      </c>
      <c r="BP53" s="54">
        <f t="array" ref="BP53">_xlfn.UNIQUE(BS53:BS58)</f>
        <v>0</v>
      </c>
      <c r="BQ53" s="51" t="e">
        <f t="shared" si="0"/>
        <v>#N/A</v>
      </c>
    </row>
    <row r="54" spans="3:69" x14ac:dyDescent="0.35">
      <c r="C54" s="9">
        <f t="array" ref="C54">_xlfn.UNIQUE(F54:F58)</f>
        <v>0</v>
      </c>
      <c r="D54" s="13" t="e">
        <f>IF(C_MEAS="Sessions",INDEX($G$26:G58,MATCH(C54,$F$26:$F58,0)),
IF(C_MEAS="Total_Item_Requests",INDEX($H$26:$H58,MATCH(C54,$F$26:$F58,0)),
IF(C_MEAS="Unique_Item_Requests",INDEX($I$26:$I58,MATCH(C54,$F$26:$F58,0)),
IF(C_MEAS="Total_Item_Investigations",INDEX($J$26:$J58,MATCH(C54,$F$26:$F58,0)),
IF(C_MEAS="Unique_Item_Investigations",INDEX($K$26:$K58,MATCH(C54,$F$26:$F58,0)),
IF(C_MEAS="User",INDEX($L$26:$L54,MATCH(C54,$F$26:$F58,0))
))))))</f>
        <v>#N/A</v>
      </c>
      <c r="F54"/>
      <c r="G54"/>
      <c r="H54"/>
      <c r="I54"/>
      <c r="J54"/>
      <c r="K54"/>
      <c r="L54"/>
      <c r="Q54" s="23">
        <f t="array" ref="Q54">_xlfn.UNIQUE(T54:T58)</f>
        <v>0</v>
      </c>
      <c r="R54" s="21" t="e">
        <f>IF(CMEAS_1="Sessions",INDEX($U$26:U63,MATCH(Q54,$T$26:$T63,0)),
IF(CMEAS_1="Total_Item_Requests",INDEX($V$26:$V63,MATCH(Q54,$T$26:$T63,0)),
IF(CMEAS_1="Unique_Item_Requests",INDEX($Y$26:$Y63,MATCH(Q54,$T$26:$T63,0)),
IF(CMEAS_1="Total_Item_Investigations",INDEX($W$26:$W63,MATCH(Q54,$T$26:$T63,0)),
IF(CMEAS_1="Unique_Item_Investigations",INDEX($X$26:$X63,MATCH(Q54,$T$26:$T63,0)),
IF(CMEAS_1="User",INDEX($Z$26:$Z54,MATCH(Q54,$T$26:$T63,0)),
))))))</f>
        <v>#N/A</v>
      </c>
      <c r="AG54" s="66">
        <f t="array" ref="AG54">_xlfn.UNIQUE(AJ54:AJ58)</f>
        <v>0</v>
      </c>
      <c r="AH54" s="32" t="e">
        <f>IF(CMEAS_2="Sessions",INDEX($AK54:$AK63,MATCH(AG54,$AJ$26:$AJ63,0)),
IF(CMEAS_2="Total_Item_Requests",INDEX($AL$26:$AL63,MATCH(AG54,$AJ$26:$AJ63,0)),
IF(CMEAS_2="Unique_Item_Requests",INDEX($AO$26:$AO63,MATCH(AG54,$AJ$26:$AJ63,0)),
IF(CMEAS_2="Total_Item_Investigations",INDEX($AM$26:$AM63,MATCH(AG54,$AJ$26:$AJ63,0)),
IF(CMEAS_2="Unique_Item_Investigations",INDEX($AN$26:$AN63,MATCH(AG54,$AJ$26:$AJ63,0)),
IF(CMEAS_2="User",INDEX($AP$26:$AP63,MATCH(AG54,$AJ$26:$AJ63,0)),
))))))</f>
        <v>#N/A</v>
      </c>
      <c r="AJ54"/>
      <c r="AK54"/>
      <c r="AL54"/>
      <c r="AM54"/>
      <c r="AN54"/>
      <c r="AO54"/>
      <c r="AP54"/>
      <c r="AX54" s="43">
        <f t="array" ref="AX54">_xlfn.UNIQUE(BA54:BA58)</f>
        <v>0</v>
      </c>
      <c r="AY54" s="40" t="e">
        <f>IF(CMEAS_3="Sessions",INDEX($BB$26:$BB63,MATCH(AX54,$BA$26:$BA63,0)),
IF(CMEAS_3="Total_Item_Requests",INDEX($BC$26:$BC63,MATCH(AX54,$BA$26:$BA63,0)),
IF(CMEAS_3="Unique_Item_Requests",INDEX($BF$26:$BF63,MATCH(AX54,$BA$26:$BA63,0)),
IF(CMEAS_3="Total_Item_Investigations",INDEX($BD$26:$BD63,MATCH(AX54,$BA$26:$BA63,0)),
IF(CMEAS_3="Unique_Item_Investigations",INDEX($BE$26:$BE63,MATCH(AX54,$BA$26:$BA63,0)),
IF(CMEAS_3="User",INDEX($BG$26:$BG64,MATCH(AX54,$BA$26:$BA63,0)),
))))))</f>
        <v>#N/A</v>
      </c>
      <c r="BP54" s="54">
        <f t="array" ref="BP54">_xlfn.UNIQUE(BS54:BS58)</f>
        <v>0</v>
      </c>
      <c r="BQ54" s="51" t="e">
        <f t="shared" si="0"/>
        <v>#N/A</v>
      </c>
    </row>
    <row r="55" spans="3:69" x14ac:dyDescent="0.35">
      <c r="C55" s="9">
        <f t="array" ref="C55">_xlfn.UNIQUE(F55:F58)</f>
        <v>0</v>
      </c>
      <c r="D55" s="13" t="e">
        <f>IF(C_MEAS="Sessions",INDEX($G$26:G58,MATCH(C55,$F$26:$F58,0)),
IF(C_MEAS="Total_Item_Requests",INDEX($H$26:$H58,MATCH(C55,$F$26:$F58,0)),
IF(C_MEAS="Unique_Item_Requests",INDEX($I$26:$I58,MATCH(C55,$F$26:$F58,0)),
IF(C_MEAS="Total_Item_Investigations",INDEX($J$26:$J58,MATCH(C55,$F$26:$F58,0)),
IF(C_MEAS="Unique_Item_Investigations",INDEX($K$26:$K58,MATCH(C55,$F$26:$F58,0)),
IF(C_MEAS="User",INDEX($L$26:$L55,MATCH(C55,$F$26:$F58,0))
))))))</f>
        <v>#N/A</v>
      </c>
      <c r="F55"/>
      <c r="G55"/>
      <c r="H55"/>
      <c r="I55"/>
      <c r="J55"/>
      <c r="K55"/>
      <c r="L55"/>
      <c r="Q55" s="23">
        <f t="array" ref="Q55">_xlfn.UNIQUE(T55:T58)</f>
        <v>0</v>
      </c>
      <c r="R55" s="21" t="e">
        <f>IF(CMEAS_1="Sessions",INDEX($U$26:U64,MATCH(Q55,$T$26:$T64,0)),
IF(CMEAS_1="Total_Item_Requests",INDEX($V$26:$V64,MATCH(Q55,$T$26:$T64,0)),
IF(CMEAS_1="Unique_Item_Requests",INDEX($Y$26:$Y64,MATCH(Q55,$T$26:$T64,0)),
IF(CMEAS_1="Total_Item_Investigations",INDEX($W$26:$W64,MATCH(Q55,$T$26:$T64,0)),
IF(CMEAS_1="Unique_Item_Investigations",INDEX($X$26:$X64,MATCH(Q55,$T$26:$T64,0)),
IF(CMEAS_1="User",INDEX($Z$26:$Z55,MATCH(Q55,$T$26:$T64,0)),
))))))</f>
        <v>#N/A</v>
      </c>
      <c r="AG55" s="66">
        <f t="array" ref="AG55">_xlfn.UNIQUE(AJ55:AJ58)</f>
        <v>0</v>
      </c>
      <c r="AH55" s="32" t="e">
        <f>IF(CMEAS_2="Sessions",INDEX($AK55:$AK64,MATCH(AG55,$AJ$26:$AJ64,0)),
IF(CMEAS_2="Total_Item_Requests",INDEX($AL$26:$AL64,MATCH(AG55,$AJ$26:$AJ64,0)),
IF(CMEAS_2="Unique_Item_Requests",INDEX($AO$26:$AO64,MATCH(AG55,$AJ$26:$AJ64,0)),
IF(CMEAS_2="Total_Item_Investigations",INDEX($AM$26:$AM64,MATCH(AG55,$AJ$26:$AJ64,0)),
IF(CMEAS_2="Unique_Item_Investigations",INDEX($AN$26:$AN64,MATCH(AG55,$AJ$26:$AJ64,0)),
IF(CMEAS_2="User",INDEX($AP$26:$AP64,MATCH(AG55,$AJ$26:$AJ64,0)),
))))))</f>
        <v>#N/A</v>
      </c>
      <c r="AJ55"/>
      <c r="AK55"/>
      <c r="AL55"/>
      <c r="AM55"/>
      <c r="AN55"/>
      <c r="AO55"/>
      <c r="AP55"/>
      <c r="AX55" s="43">
        <f t="array" ref="AX55">_xlfn.UNIQUE(BA55:BA58)</f>
        <v>0</v>
      </c>
      <c r="AY55" s="40" t="e">
        <f>IF(CMEAS_3="Sessions",INDEX($BB$26:$BB64,MATCH(AX55,$BA$26:$BA64,0)),
IF(CMEAS_3="Total_Item_Requests",INDEX($BC$26:$BC64,MATCH(AX55,$BA$26:$BA64,0)),
IF(CMEAS_3="Unique_Item_Requests",INDEX($BF$26:$BF64,MATCH(AX55,$BA$26:$BA64,0)),
IF(CMEAS_3="Total_Item_Investigations",INDEX($BD$26:$BD64,MATCH(AX55,$BA$26:$BA64,0)),
IF(CMEAS_3="Unique_Item_Investigations",INDEX($BE$26:$BE64,MATCH(AX55,$BA$26:$BA64,0)),
IF(CMEAS_3="User",INDEX($BG$26:$BG65,MATCH(AX55,$BA$26:$BA64,0)),
))))))</f>
        <v>#N/A</v>
      </c>
      <c r="BP55" s="54">
        <f t="array" ref="BP55">_xlfn.UNIQUE(BS55:BS58)</f>
        <v>0</v>
      </c>
      <c r="BQ55" s="51" t="e">
        <f t="shared" si="0"/>
        <v>#N/A</v>
      </c>
    </row>
    <row r="56" spans="3:69" x14ac:dyDescent="0.35">
      <c r="C56" s="9">
        <f t="array" ref="C56">_xlfn.UNIQUE(F56:F58)</f>
        <v>0</v>
      </c>
      <c r="D56" s="13" t="e">
        <f>IF(C_MEAS="Sessions",INDEX($G$26:G58,MATCH(C56,$F$26:$F58,0)),
IF(C_MEAS="Total_Item_Requests",INDEX($H$26:$H58,MATCH(C56,$F$26:$F58,0)),
IF(C_MEAS="Unique_Item_Requests",INDEX($I$26:$I58,MATCH(C56,$F$26:$F58,0)),
IF(C_MEAS="Total_Item_Investigations",INDEX($J$26:$J58,MATCH(C56,$F$26:$F58,0)),
IF(C_MEAS="Unique_Item_Investigations",INDEX($K$26:$K58,MATCH(C56,$F$26:$F58,0)),
IF(C_MEAS="User",INDEX($L$26:$L56,MATCH(C56,$F$26:$F58,0))
))))))</f>
        <v>#N/A</v>
      </c>
      <c r="F56"/>
      <c r="G56"/>
      <c r="H56"/>
      <c r="I56"/>
      <c r="J56"/>
      <c r="K56"/>
      <c r="L56"/>
      <c r="Q56" s="23">
        <f t="array" ref="Q56">_xlfn.UNIQUE(T56:T58)</f>
        <v>0</v>
      </c>
      <c r="R56" s="21" t="e">
        <f>IF(CMEAS_1="Sessions",INDEX($U$26:U65,MATCH(Q56,$T$26:$T65,0)),
IF(CMEAS_1="Total_Item_Requests",INDEX($V$26:$V65,MATCH(Q56,$T$26:$T65,0)),
IF(CMEAS_1="Unique_Item_Requests",INDEX($Y$26:$Y65,MATCH(Q56,$T$26:$T65,0)),
IF(CMEAS_1="Total_Item_Investigations",INDEX($W$26:$W65,MATCH(Q56,$T$26:$T65,0)),
IF(CMEAS_1="Unique_Item_Investigations",INDEX($X$26:$X65,MATCH(Q56,$T$26:$T65,0)),
IF(CMEAS_1="User",INDEX($Z$26:$Z56,MATCH(Q56,$T$26:$T65,0)),
))))))</f>
        <v>#N/A</v>
      </c>
      <c r="AG56" s="66">
        <f t="array" ref="AG56">_xlfn.UNIQUE(AJ56:AJ58)</f>
        <v>0</v>
      </c>
      <c r="AH56" s="32" t="e">
        <f>IF(CMEAS_2="Sessions",INDEX($AK56:$AK65,MATCH(AG56,$AJ$26:$AJ65,0)),
IF(CMEAS_2="Total_Item_Requests",INDEX($AL$26:$AL65,MATCH(AG56,$AJ$26:$AJ65,0)),
IF(CMEAS_2="Unique_Item_Requests",INDEX($AO$26:$AO65,MATCH(AG56,$AJ$26:$AJ65,0)),
IF(CMEAS_2="Total_Item_Investigations",INDEX($AM$26:$AM65,MATCH(AG56,$AJ$26:$AJ65,0)),
IF(CMEAS_2="Unique_Item_Investigations",INDEX($AN$26:$AN65,MATCH(AG56,$AJ$26:$AJ65,0)),
IF(CMEAS_2="User",INDEX($AP$26:$AP65,MATCH(AG56,$AJ$26:$AJ65,0)),
))))))</f>
        <v>#N/A</v>
      </c>
      <c r="AJ56"/>
      <c r="AK56"/>
      <c r="AL56"/>
      <c r="AM56"/>
      <c r="AN56"/>
      <c r="AO56"/>
      <c r="AP56"/>
      <c r="AX56" s="43">
        <f t="array" ref="AX56">_xlfn.UNIQUE(BA56:BA58)</f>
        <v>0</v>
      </c>
      <c r="AY56" s="40" t="e">
        <f>IF(CMEAS_3="Sessions",INDEX($BB$26:$BB65,MATCH(AX56,$BA$26:$BA65,0)),
IF(CMEAS_3="Total_Item_Requests",INDEX($BC$26:$BC65,MATCH(AX56,$BA$26:$BA65,0)),
IF(CMEAS_3="Unique_Item_Requests",INDEX($BF$26:$BF65,MATCH(AX56,$BA$26:$BA65,0)),
IF(CMEAS_3="Total_Item_Investigations",INDEX($BD$26:$BD65,MATCH(AX56,$BA$26:$BA65,0)),
IF(CMEAS_3="Unique_Item_Investigations",INDEX($BE$26:$BE65,MATCH(AX56,$BA$26:$BA65,0)),
IF(CMEAS_3="User",INDEX($BG$26:$BG66,MATCH(AX56,$BA$26:$BA65,0)),
))))))</f>
        <v>#N/A</v>
      </c>
      <c r="BP56" s="54">
        <f t="array" ref="BP56">_xlfn.UNIQUE(BS56:BS58)</f>
        <v>0</v>
      </c>
      <c r="BQ56" s="51" t="e">
        <f t="shared" si="0"/>
        <v>#N/A</v>
      </c>
    </row>
    <row r="57" spans="3:69" x14ac:dyDescent="0.35">
      <c r="C57" s="9">
        <f t="array" ref="C57">_xlfn.UNIQUE(F57:F58)</f>
        <v>0</v>
      </c>
      <c r="D57" s="13" t="e">
        <f>IF(C_MEAS="Sessions",INDEX($G$26:G58,MATCH(C57,$F$26:$F58,0)),
IF(C_MEAS="Total_Item_Requests",INDEX($H$26:$H58,MATCH(C57,$F$26:$F58,0)),
IF(C_MEAS="Unique_Item_Requests",INDEX($I$26:$I58,MATCH(C57,$F$26:$F58,0)),
IF(C_MEAS="Total_Item_Investigations",INDEX($J$26:$J58,MATCH(C57,$F$26:$F58,0)),
IF(C_MEAS="Unique_Item_Investigations",INDEX($K$26:$K58,MATCH(C57,$F$26:$F58,0)),
IF(C_MEAS="User",INDEX($L$26:$L57,MATCH(C57,$F$26:$F58,0))
))))))</f>
        <v>#N/A</v>
      </c>
      <c r="F57"/>
      <c r="G57"/>
      <c r="H57"/>
      <c r="I57"/>
      <c r="J57"/>
      <c r="K57"/>
      <c r="L57"/>
      <c r="Q57" s="23">
        <f t="array" ref="Q57">_xlfn.UNIQUE(T57:T58)</f>
        <v>0</v>
      </c>
      <c r="R57" s="21" t="e">
        <f>IF(CMEAS_1="Sessions",INDEX($U$26:U66,MATCH(Q57,$T$26:$T66,0)),
IF(CMEAS_1="Total_Item_Requests",INDEX($V$26:$V66,MATCH(Q57,$T$26:$T66,0)),
IF(CMEAS_1="Unique_Item_Requests",INDEX($Y$26:$Y66,MATCH(Q57,$T$26:$T66,0)),
IF(CMEAS_1="Total_Item_Investigations",INDEX($W$26:$W66,MATCH(Q57,$T$26:$T66,0)),
IF(CMEAS_1="Unique_Item_Investigations",INDEX($X$26:$X66,MATCH(Q57,$T$26:$T66,0)),
IF(CMEAS_1="User",INDEX($Z$26:$Z57,MATCH(Q57,$T$26:$T66,0)),
))))))</f>
        <v>#N/A</v>
      </c>
      <c r="AG57" s="66">
        <f t="array" ref="AG57">_xlfn.UNIQUE(AJ57:AJ58)</f>
        <v>0</v>
      </c>
      <c r="AH57" s="32" t="e">
        <f>IF(CMEAS_2="Sessions",INDEX($AK57:$AK66,MATCH(AG57,$AJ$26:$AJ66,0)),
IF(CMEAS_2="Total_Item_Requests",INDEX($AL$26:$AL66,MATCH(AG57,$AJ$26:$AJ66,0)),
IF(CMEAS_2="Unique_Item_Requests",INDEX($AO$26:$AO66,MATCH(AG57,$AJ$26:$AJ66,0)),
IF(CMEAS_2="Total_Item_Investigations",INDEX($AM$26:$AM66,MATCH(AG57,$AJ$26:$AJ66,0)),
IF(CMEAS_2="Unique_Item_Investigations",INDEX($AN$26:$AN66,MATCH(AG57,$AJ$26:$AJ66,0)),
IF(CMEAS_2="User",INDEX($AP$26:$AP66,MATCH(AG57,$AJ$26:$AJ66,0)),
))))))</f>
        <v>#N/A</v>
      </c>
      <c r="AJ57"/>
      <c r="AK57"/>
      <c r="AL57"/>
      <c r="AM57"/>
      <c r="AN57"/>
      <c r="AO57"/>
      <c r="AP57"/>
      <c r="AX57" s="43">
        <f t="array" ref="AX57">_xlfn.UNIQUE(BA57:BA58)</f>
        <v>0</v>
      </c>
      <c r="AY57" s="40" t="e">
        <f>IF(CMEAS_3="Sessions",INDEX($BB$26:$BB66,MATCH(AX57,$BA$26:$BA66,0)),
IF(CMEAS_3="Total_Item_Requests",INDEX($BC$26:$BC66,MATCH(AX57,$BA$26:$BA66,0)),
IF(CMEAS_3="Unique_Item_Requests",INDEX($BF$26:$BF66,MATCH(AX57,$BA$26:$BA66,0)),
IF(CMEAS_3="Total_Item_Investigations",INDEX($BD$26:$BD66,MATCH(AX57,$BA$26:$BA66,0)),
IF(CMEAS_3="Unique_Item_Investigations",INDEX($BE$26:$BE66,MATCH(AX57,$BA$26:$BA66,0)),
IF(CMEAS_3="User",INDEX($BG$26:$BG67,MATCH(AX57,$BA$26:$BA66,0)),
))))))</f>
        <v>#N/A</v>
      </c>
      <c r="BP57" s="54">
        <f t="array" ref="BP57">_xlfn.UNIQUE(BS57:BS58)</f>
        <v>0</v>
      </c>
      <c r="BQ57" s="51" t="e">
        <f t="shared" si="0"/>
        <v>#N/A</v>
      </c>
    </row>
    <row r="58" spans="3:69" x14ac:dyDescent="0.35">
      <c r="C58" s="9">
        <f t="array" ref="C58">_xlfn.UNIQUE(F58:F58)</f>
        <v>0</v>
      </c>
      <c r="D58" s="13" t="e">
        <f>IF(C_MEAS="Sessions",INDEX($G$26:G58,MATCH(C58,$F$26:$F58,0)),
IF(C_MEAS="Total_Item_Requests",INDEX($H$26:$H58,MATCH(C58,$F$26:$F58,0)),
IF(C_MEAS="Unique_Item_Requests",INDEX($I$26:$I58,MATCH(C58,$F$26:$F58,0)),
IF(C_MEAS="Total_Item_Investigations",INDEX($J$26:$J58,MATCH(C58,$F$26:$F58,0)),
IF(C_MEAS="Unique_Item_Investigations",INDEX($K$26:$K58,MATCH(C58,$F$26:$F58,0)),
IF(C_MEAS="User",INDEX($L$26:$L58,MATCH(C58,$F$26:$F58,0))
))))))</f>
        <v>#N/A</v>
      </c>
      <c r="F58"/>
      <c r="G58"/>
      <c r="H58"/>
      <c r="I58"/>
      <c r="J58"/>
      <c r="K58"/>
      <c r="L58"/>
      <c r="Q58" s="23">
        <f t="array" ref="Q58">_xlfn.UNIQUE(T58:T58)</f>
        <v>0</v>
      </c>
      <c r="R58" s="21" t="e">
        <f>IF(CMEAS_1="Sessions",INDEX($U$26:U67,MATCH(Q58,$T$26:$T67,0)),
IF(CMEAS_1="Total_Item_Requests",INDEX($V$26:$V67,MATCH(Q58,$T$26:$T67,0)),
IF(CMEAS_1="Unique_Item_Requests",INDEX($Y$26:$Y67,MATCH(Q58,$T$26:$T67,0)),
IF(CMEAS_1="Total_Item_Investigations",INDEX($W$26:$W67,MATCH(Q58,$T$26:$T67,0)),
IF(CMEAS_1="Unique_Item_Investigations",INDEX($X$26:$X67,MATCH(Q58,$T$26:$T67,0)),
IF(CMEAS_1="User",INDEX($Z$26:$Z58,MATCH(Q58,$T$26:$T67,0)),
))))))</f>
        <v>#N/A</v>
      </c>
      <c r="AG58" s="66">
        <f t="array" ref="AG58">_xlfn.UNIQUE(AJ58:AJ58)</f>
        <v>0</v>
      </c>
      <c r="AH58" s="32" t="e">
        <f>IF(CMEAS_2="Sessions",INDEX($AK58:$AK67,MATCH(AG58,$AJ$26:$AJ67,0)),
IF(CMEAS_2="Total_Item_Requests",INDEX($AL$26:$AL67,MATCH(AG58,$AJ$26:$AJ67,0)),
IF(CMEAS_2="Unique_Item_Requests",INDEX($AO$26:$AO67,MATCH(AG58,$AJ$26:$AJ67,0)),
IF(CMEAS_2="Total_Item_Investigations",INDEX($AM$26:$AM67,MATCH(AG58,$AJ$26:$AJ67,0)),
IF(CMEAS_2="Unique_Item_Investigations",INDEX($AN$26:$AN67,MATCH(AG58,$AJ$26:$AJ67,0)),
IF(CMEAS_2="User",INDEX($AP$26:$AP67,MATCH(AG58,$AJ$26:$AJ67,0)),
))))))</f>
        <v>#N/A</v>
      </c>
      <c r="AJ58"/>
      <c r="AK58"/>
      <c r="AL58"/>
      <c r="AM58"/>
      <c r="AN58"/>
      <c r="AO58"/>
      <c r="AP58"/>
      <c r="AX58" s="43">
        <f t="array" ref="AX58">_xlfn.UNIQUE(BA58:BA58)</f>
        <v>0</v>
      </c>
      <c r="AY58" s="40" t="e">
        <f>IF(CMEAS_3="Sessions",INDEX($BB$26:$BB67,MATCH(AX58,$BA$26:$BA67,0)),
IF(CMEAS_3="Total_Item_Requests",INDEX($BC$26:$BC67,MATCH(AX58,$BA$26:$BA67,0)),
IF(CMEAS_3="Unique_Item_Requests",INDEX($BF$26:$BF67,MATCH(AX58,$BA$26:$BA67,0)),
IF(CMEAS_3="Total_Item_Investigations",INDEX($BD$26:$BD67,MATCH(AX58,$BA$26:$BA67,0)),
IF(CMEAS_3="Unique_Item_Investigations",INDEX($BE$26:$BE67,MATCH(AX58,$BA$26:$BA67,0)),
IF(CMEAS_3="User",INDEX($BG$26:$BG68,MATCH(AX58,$BA$26:$BA67,0)),
))))))</f>
        <v>#N/A</v>
      </c>
      <c r="BP58" s="54">
        <f t="array" ref="BP58">_xlfn.UNIQUE(BS58:BS58)</f>
        <v>0</v>
      </c>
      <c r="BQ58" s="51" t="e">
        <f t="shared" si="0"/>
        <v>#N/A</v>
      </c>
    </row>
    <row r="59" spans="3:69" x14ac:dyDescent="0.35">
      <c r="C59" s="9">
        <f t="array" ref="C59">_xlfn.UNIQUE(F59:F59)</f>
        <v>0</v>
      </c>
      <c r="D59" s="13" t="e">
        <f>IF(C_MEAS="Sessions",INDEX($G$26:G59,MATCH(C59,$F$26:$F59,0)),
IF(C_MEAS="Total_Item_Requests",INDEX($H$26:$H59,MATCH(C59,$F$26:$F59,0)),
IF(C_MEAS="Unique_Item_Requests",INDEX($I$26:$I59,MATCH(C59,$F$26:$F59,0)),
IF(C_MEAS="Total_Item_Investigations",INDEX($J$26:$J59,MATCH(C59,$F$26:$F59,0)),
IF(C_MEAS="Unique_Item_Investigations",INDEX($K$26:$K59,MATCH(C59,$F$26:$F59,0)),
IF(C_MEAS="User",INDEX($L$26:$L59,MATCH(C59,$F$26:$F59,0))
))))))</f>
        <v>#N/A</v>
      </c>
      <c r="F59"/>
      <c r="G59"/>
      <c r="H59"/>
      <c r="I59"/>
      <c r="J59"/>
      <c r="K59"/>
      <c r="L59"/>
      <c r="AG59" s="66">
        <f t="array" ref="AG59">_xlfn.UNIQUE(AJ59:AJ59)</f>
        <v>0</v>
      </c>
      <c r="AH59" s="32" t="e">
        <f>IF(CMEAS_2="Sessions",INDEX($AK59:$AK68,MATCH(AG59,$AJ$26:$AJ68,0)),
IF(CMEAS_2="Total_Item_Requests",INDEX($AL$26:$AL68,MATCH(AG59,$AJ$26:$AJ68,0)),
IF(CMEAS_2="Unique_Item_Requests",INDEX($AO$26:$AO68,MATCH(AG59,$AJ$26:$AJ68,0)),
IF(CMEAS_2="Total_Item_Investigations",INDEX($AM$26:$AM68,MATCH(AG59,$AJ$26:$AJ68,0)),
IF(CMEAS_2="Unique_Item_Investigations",INDEX($AN$26:$AN68,MATCH(AG59,$AJ$26:$AJ68,0)),
IF(CMEAS_2="User",INDEX($AP$26:$AP68,MATCH(AG59,$AJ$26:$AJ68,0)),
))))))</f>
        <v>#N/A</v>
      </c>
      <c r="AJ59"/>
      <c r="AK59"/>
      <c r="AL59"/>
      <c r="AM59"/>
      <c r="AN59"/>
      <c r="AO59"/>
      <c r="AP59"/>
    </row>
    <row r="60" spans="3:69" x14ac:dyDescent="0.35">
      <c r="C60" s="9">
        <f t="array" ref="C60">_xlfn.UNIQUE(F60:F60)</f>
        <v>0</v>
      </c>
      <c r="D60" s="13" t="e">
        <f>IF(C_MEAS="Sessions",INDEX($G$26:G60,MATCH(C60,$F$26:$F60,0)),
IF(C_MEAS="Total_Item_Requests",INDEX($H$26:$H60,MATCH(C60,$F$26:$F60,0)),
IF(C_MEAS="Unique_Item_Requests",INDEX($I$26:$I60,MATCH(C60,$F$26:$F60,0)),
IF(C_MEAS="Total_Item_Investigations",INDEX($J$26:$J60,MATCH(C60,$F$26:$F60,0)),
IF(C_MEAS="Unique_Item_Investigations",INDEX($K$26:$K60,MATCH(C60,$F$26:$F60,0)),
IF(C_MEAS="User",INDEX($L$26:$L60,MATCH(C60,$F$26:$F60,0))
))))))</f>
        <v>#N/A</v>
      </c>
      <c r="F60"/>
      <c r="G60"/>
      <c r="H60"/>
      <c r="I60"/>
      <c r="J60"/>
      <c r="K60"/>
      <c r="L60"/>
      <c r="AG60" s="66">
        <f t="array" ref="AG60">_xlfn.UNIQUE(AJ60:AJ60)</f>
        <v>0</v>
      </c>
      <c r="AH60" s="32" t="e">
        <f>IF(CMEAS_2="Sessions",INDEX($AK60:$AK69,MATCH(AG60,$AJ$26:$AJ69,0)),
IF(CMEAS_2="Total_Item_Requests",INDEX($AL$26:$AL69,MATCH(AG60,$AJ$26:$AJ69,0)),
IF(CMEAS_2="Unique_Item_Requests",INDEX($AO$26:$AO69,MATCH(AG60,$AJ$26:$AJ69,0)),
IF(CMEAS_2="Total_Item_Investigations",INDEX($AM$26:$AM69,MATCH(AG60,$AJ$26:$AJ69,0)),
IF(CMEAS_2="Unique_Item_Investigations",INDEX($AN$26:$AN69,MATCH(AG60,$AJ$26:$AJ69,0)),
IF(CMEAS_2="User",INDEX($AP$26:$AP69,MATCH(AG60,$AJ$26:$AJ69,0)),
))))))</f>
        <v>#N/A</v>
      </c>
      <c r="AJ60"/>
      <c r="AK60"/>
      <c r="AL60"/>
      <c r="AM60"/>
      <c r="AN60"/>
      <c r="AO60"/>
      <c r="AP60"/>
    </row>
    <row r="61" spans="3:69" x14ac:dyDescent="0.35">
      <c r="C61" s="9">
        <f t="array" ref="C61">_xlfn.UNIQUE(F61:F61)</f>
        <v>0</v>
      </c>
      <c r="D61" s="13" t="e">
        <f>IF(C_MEAS="Sessions",INDEX($G$26:G61,MATCH(C61,$F$26:$F61,0)),
IF(C_MEAS="Total_Item_Requests",INDEX($H$26:$H61,MATCH(C61,$F$26:$F61,0)),
IF(C_MEAS="Unique_Item_Requests",INDEX($I$26:$I61,MATCH(C61,$F$26:$F61,0)),
IF(C_MEAS="Total_Item_Investigations",INDEX($J$26:$J61,MATCH(C61,$F$26:$F61,0)),
IF(C_MEAS="Unique_Item_Investigations",INDEX($K$26:$K61,MATCH(C61,$F$26:$F61,0)),
IF(C_MEAS="User",INDEX($L$26:$L61,MATCH(C61,$F$26:$F61,0))
))))))</f>
        <v>#N/A</v>
      </c>
      <c r="F61"/>
      <c r="G61"/>
      <c r="H61"/>
      <c r="I61"/>
      <c r="J61"/>
      <c r="K61"/>
      <c r="L61"/>
      <c r="AG61" s="66">
        <f t="array" ref="AG61">_xlfn.UNIQUE(AJ61:AJ61)</f>
        <v>0</v>
      </c>
      <c r="AH61" s="32" t="e">
        <f>IF(CMEAS_2="Sessions",INDEX($AK61:$AK70,MATCH(AG61,$AJ$26:$AJ70,0)),
IF(CMEAS_2="Total_Item_Requests",INDEX($AL$26:$AL70,MATCH(AG61,$AJ$26:$AJ70,0)),
IF(CMEAS_2="Unique_Item_Requests",INDEX($AO$26:$AO70,MATCH(AG61,$AJ$26:$AJ70,0)),
IF(CMEAS_2="Total_Item_Investigations",INDEX($AM$26:$AM70,MATCH(AG61,$AJ$26:$AJ70,0)),
IF(CMEAS_2="Unique_Item_Investigations",INDEX($AN$26:$AN70,MATCH(AG61,$AJ$26:$AJ70,0)),
IF(CMEAS_2="User",INDEX($AP$26:$AP70,MATCH(AG61,$AJ$26:$AJ70,0)),
))))))</f>
        <v>#N/A</v>
      </c>
      <c r="AJ61"/>
      <c r="AK61"/>
      <c r="AL61"/>
      <c r="AM61"/>
      <c r="AN61"/>
      <c r="AO61"/>
      <c r="AP61"/>
    </row>
    <row r="62" spans="3:69" x14ac:dyDescent="0.35">
      <c r="C62" s="9">
        <f t="array" ref="C62">_xlfn.UNIQUE(F62:F62)</f>
        <v>0</v>
      </c>
      <c r="D62" s="13" t="e">
        <f>IF(C_MEAS="Sessions",INDEX($G$26:G62,MATCH(C62,$F$26:$F62,0)),
IF(C_MEAS="Total_Item_Requests",INDEX($H$26:$H62,MATCH(C62,$F$26:$F62,0)),
IF(C_MEAS="Unique_Item_Requests",INDEX($I$26:$I62,MATCH(C62,$F$26:$F62,0)),
IF(C_MEAS="Total_Item_Investigations",INDEX($J$26:$J62,MATCH(C62,$F$26:$F62,0)),
IF(C_MEAS="Unique_Item_Investigations",INDEX($K$26:$K62,MATCH(C62,$F$26:$F62,0)),
IF(C_MEAS="User",INDEX($L$26:$L62,MATCH(C62,$F$26:$F62,0))
))))))</f>
        <v>#N/A</v>
      </c>
      <c r="F62"/>
      <c r="G62"/>
      <c r="H62"/>
      <c r="I62"/>
      <c r="J62"/>
      <c r="K62"/>
      <c r="L62"/>
      <c r="AG62" s="66">
        <f t="array" ref="AG62">_xlfn.UNIQUE(AJ62:AJ62)</f>
        <v>0</v>
      </c>
      <c r="AH62" s="32" t="e">
        <f>IF(CMEAS_2="Sessions",INDEX($AK62:$AK71,MATCH(AG62,$AJ$26:$AJ71,0)),
IF(CMEAS_2="Total_Item_Requests",INDEX($AL$26:$AL71,MATCH(AG62,$AJ$26:$AJ71,0)),
IF(CMEAS_2="Unique_Item_Requests",INDEX($AO$26:$AO71,MATCH(AG62,$AJ$26:$AJ71,0)),
IF(CMEAS_2="Total_Item_Investigations",INDEX($AM$26:$AM71,MATCH(AG62,$AJ$26:$AJ71,0)),
IF(CMEAS_2="Unique_Item_Investigations",INDEX($AN$26:$AN71,MATCH(AG62,$AJ$26:$AJ71,0)),
IF(CMEAS_2="User",INDEX($AP$26:$AP71,MATCH(AG62,$AJ$26:$AJ71,0)),
))))))</f>
        <v>#N/A</v>
      </c>
      <c r="AJ62"/>
      <c r="AK62"/>
      <c r="AL62"/>
      <c r="AM62"/>
      <c r="AN62"/>
      <c r="AO62"/>
      <c r="AP62"/>
    </row>
    <row r="63" spans="3:69" x14ac:dyDescent="0.35">
      <c r="C63" s="9">
        <f t="array" ref="C63">_xlfn.UNIQUE(F63:F63)</f>
        <v>0</v>
      </c>
      <c r="D63" s="13" t="e">
        <f>IF(C_MEAS="Sessions",INDEX($G$26:G63,MATCH(C63,$F$26:$F63,0)),
IF(C_MEAS="Total_Item_Requests",INDEX($H$26:$H63,MATCH(C63,$F$26:$F63,0)),
IF(C_MEAS="Unique_Item_Requests",INDEX($I$26:$I63,MATCH(C63,$F$26:$F63,0)),
IF(C_MEAS="Total_Item_Investigations",INDEX($J$26:$J63,MATCH(C63,$F$26:$F63,0)),
IF(C_MEAS="Unique_Item_Investigations",INDEX($K$26:$K63,MATCH(C63,$F$26:$F63,0)),
IF(C_MEAS="User",INDEX($L$26:$L63,MATCH(C63,$F$26:$F63,0))
))))))</f>
        <v>#N/A</v>
      </c>
      <c r="F63"/>
      <c r="G63"/>
      <c r="H63"/>
      <c r="I63"/>
      <c r="J63"/>
      <c r="K63"/>
      <c r="L63"/>
      <c r="AG63" s="66">
        <f t="array" ref="AG63">_xlfn.UNIQUE(AJ63:AJ63)</f>
        <v>0</v>
      </c>
      <c r="AH63" s="32" t="e">
        <f>IF(CMEAS_2="Sessions",INDEX($AK63:$AK72,MATCH(AG63,$AJ$26:$AJ72,0)),
IF(CMEAS_2="Total_Item_Requests",INDEX($AL$26:$AL72,MATCH(AG63,$AJ$26:$AJ72,0)),
IF(CMEAS_2="Unique_Item_Requests",INDEX($AO$26:$AO72,MATCH(AG63,$AJ$26:$AJ72,0)),
IF(CMEAS_2="Total_Item_Investigations",INDEX($AM$26:$AM72,MATCH(AG63,$AJ$26:$AJ72,0)),
IF(CMEAS_2="Unique_Item_Investigations",INDEX($AN$26:$AN72,MATCH(AG63,$AJ$26:$AJ72,0)),
IF(CMEAS_2="User",INDEX($AP$26:$AP72,MATCH(AG63,$AJ$26:$AJ72,0)),
))))))</f>
        <v>#N/A</v>
      </c>
      <c r="AJ63"/>
      <c r="AK63"/>
      <c r="AL63"/>
      <c r="AM63"/>
      <c r="AN63"/>
      <c r="AO63"/>
      <c r="AP63"/>
    </row>
    <row r="64" spans="3:69" x14ac:dyDescent="0.35">
      <c r="C64" s="9">
        <f t="array" ref="C64">_xlfn.UNIQUE(F64:F64)</f>
        <v>0</v>
      </c>
      <c r="D64" s="13" t="e">
        <f>IF(C_MEAS="Sessions",INDEX($G$26:G64,MATCH(C64,$F$26:$F64,0)),
IF(C_MEAS="Total_Item_Requests",INDEX($H$26:$H64,MATCH(C64,$F$26:$F64,0)),
IF(C_MEAS="Unique_Item_Requests",INDEX($I$26:$I64,MATCH(C64,$F$26:$F64,0)),
IF(C_MEAS="Total_Item_Investigations",INDEX($J$26:$J64,MATCH(C64,$F$26:$F64,0)),
IF(C_MEAS="Unique_Item_Investigations",INDEX($K$26:$K64,MATCH(C64,$F$26:$F64,0)),
IF(C_MEAS="User",INDEX($L$26:$L64,MATCH(C64,$F$26:$F64,0))
))))))</f>
        <v>#N/A</v>
      </c>
      <c r="F64"/>
      <c r="G64"/>
      <c r="H64"/>
      <c r="I64"/>
      <c r="J64"/>
      <c r="K64"/>
      <c r="L64"/>
      <c r="AG64" s="66">
        <f t="array" ref="AG64">_xlfn.UNIQUE(AJ64:AJ64)</f>
        <v>0</v>
      </c>
      <c r="AH64" s="32" t="e">
        <f>IF(CMEAS_2="Sessions",INDEX($AK64:$AK73,MATCH(AG64,$AJ$26:$AJ73,0)),
IF(CMEAS_2="Total_Item_Requests",INDEX($AL$26:$AL73,MATCH(AG64,$AJ$26:$AJ73,0)),
IF(CMEAS_2="Unique_Item_Requests",INDEX($AO$26:$AO73,MATCH(AG64,$AJ$26:$AJ73,0)),
IF(CMEAS_2="Total_Item_Investigations",INDEX($AM$26:$AM73,MATCH(AG64,$AJ$26:$AJ73,0)),
IF(CMEAS_2="Unique_Item_Investigations",INDEX($AN$26:$AN73,MATCH(AG64,$AJ$26:$AJ73,0)),
IF(CMEAS_2="User",INDEX($AP$26:$AP73,MATCH(AG64,$AJ$26:$AJ73,0)),
))))))</f>
        <v>#N/A</v>
      </c>
      <c r="AJ64"/>
      <c r="AK64"/>
      <c r="AL64"/>
      <c r="AM64"/>
      <c r="AN64"/>
      <c r="AO64"/>
      <c r="AP64"/>
    </row>
    <row r="65" spans="3:42" x14ac:dyDescent="0.35">
      <c r="C65" s="9">
        <f t="array" ref="C65">_xlfn.UNIQUE(F65:F65)</f>
        <v>0</v>
      </c>
      <c r="D65" s="13" t="e">
        <f>IF(C_MEAS="Sessions",INDEX($G$26:G65,MATCH(C65,$F$26:$F65,0)),
IF(C_MEAS="Total_Item_Requests",INDEX($H$26:$H65,MATCH(C65,$F$26:$F65,0)),
IF(C_MEAS="Unique_Item_Requests",INDEX($I$26:$I65,MATCH(C65,$F$26:$F65,0)),
IF(C_MEAS="Total_Item_Investigations",INDEX($J$26:$J65,MATCH(C65,$F$26:$F65,0)),
IF(C_MEAS="Unique_Item_Investigations",INDEX($K$26:$K65,MATCH(C65,$F$26:$F65,0)),
IF(C_MEAS="User",INDEX($L$26:$L65,MATCH(C65,$F$26:$F65,0))
))))))</f>
        <v>#N/A</v>
      </c>
      <c r="F65"/>
      <c r="G65"/>
      <c r="H65"/>
      <c r="I65"/>
      <c r="J65"/>
      <c r="K65"/>
      <c r="L65"/>
      <c r="AG65" s="66">
        <f t="array" ref="AG65">_xlfn.UNIQUE(AJ65:AJ65)</f>
        <v>0</v>
      </c>
      <c r="AH65" s="32" t="e">
        <f>IF(CMEAS_2="Sessions",INDEX($AK65:$AK74,MATCH(AG65,$AJ$26:$AJ74,0)),
IF(CMEAS_2="Total_Item_Requests",INDEX($AL$26:$AL74,MATCH(AG65,$AJ$26:$AJ74,0)),
IF(CMEAS_2="Unique_Item_Requests",INDEX($AO$26:$AO74,MATCH(AG65,$AJ$26:$AJ74,0)),
IF(CMEAS_2="Total_Item_Investigations",INDEX($AM$26:$AM74,MATCH(AG65,$AJ$26:$AJ74,0)),
IF(CMEAS_2="Unique_Item_Investigations",INDEX($AN$26:$AN74,MATCH(AG65,$AJ$26:$AJ74,0)),
IF(CMEAS_2="User",INDEX($AP$26:$AP74,MATCH(AG65,$AJ$26:$AJ74,0)),
))))))</f>
        <v>#N/A</v>
      </c>
      <c r="AJ65"/>
      <c r="AK65"/>
      <c r="AL65"/>
      <c r="AM65"/>
      <c r="AN65"/>
      <c r="AO65"/>
      <c r="AP65"/>
    </row>
    <row r="66" spans="3:42" x14ac:dyDescent="0.35">
      <c r="C66" s="9">
        <f t="array" ref="C66">_xlfn.UNIQUE(F66:F66)</f>
        <v>0</v>
      </c>
      <c r="D66" s="13" t="e">
        <f>IF(C_MEAS="Sessions",INDEX($G$26:G66,MATCH(C66,$F$26:$F66,0)),
IF(C_MEAS="Total_Item_Requests",INDEX($H$26:$H66,MATCH(C66,$F$26:$F66,0)),
IF(C_MEAS="Unique_Item_Requests",INDEX($I$26:$I66,MATCH(C66,$F$26:$F66,0)),
IF(C_MEAS="Total_Item_Investigations",INDEX($J$26:$J66,MATCH(C66,$F$26:$F66,0)),
IF(C_MEAS="Unique_Item_Investigations",INDEX($K$26:$K66,MATCH(C66,$F$26:$F66,0)),
IF(C_MEAS="User",INDEX($L$26:$L66,MATCH(C66,$F$26:$F66,0))
))))))</f>
        <v>#N/A</v>
      </c>
      <c r="F66"/>
      <c r="G66"/>
      <c r="H66"/>
      <c r="I66"/>
      <c r="J66"/>
      <c r="K66"/>
      <c r="L66"/>
      <c r="AG66" s="66">
        <f t="array" ref="AG66">_xlfn.UNIQUE(AJ66:AJ66)</f>
        <v>0</v>
      </c>
      <c r="AH66" s="32" t="e">
        <f>IF(CMEAS_2="Sessions",INDEX($AK66:$AK75,MATCH(AG66,$AJ$26:$AJ75,0)),
IF(CMEAS_2="Total_Item_Requests",INDEX($AL$26:$AL75,MATCH(AG66,$AJ$26:$AJ75,0)),
IF(CMEAS_2="Unique_Item_Requests",INDEX($AO$26:$AO75,MATCH(AG66,$AJ$26:$AJ75,0)),
IF(CMEAS_2="Total_Item_Investigations",INDEX($AM$26:$AM75,MATCH(AG66,$AJ$26:$AJ75,0)),
IF(CMEAS_2="Unique_Item_Investigations",INDEX($AN$26:$AN75,MATCH(AG66,$AJ$26:$AJ75,0)),
IF(CMEAS_2="User",INDEX($AP$26:$AP75,MATCH(AG66,$AJ$26:$AJ75,0)),
))))))</f>
        <v>#N/A</v>
      </c>
      <c r="AJ66"/>
      <c r="AK66"/>
      <c r="AL66"/>
      <c r="AM66"/>
      <c r="AN66"/>
      <c r="AO66"/>
      <c r="AP66"/>
    </row>
    <row r="67" spans="3:42" x14ac:dyDescent="0.35">
      <c r="C67" s="9">
        <f t="array" ref="C67">_xlfn.UNIQUE(F67:F67)</f>
        <v>0</v>
      </c>
      <c r="D67" s="13" t="e">
        <f>IF(C_MEAS="Sessions",INDEX($G$26:G67,MATCH(C67,$F$26:$F67,0)),
IF(C_MEAS="Total_Item_Requests",INDEX($H$26:$H67,MATCH(C67,$F$26:$F67,0)),
IF(C_MEAS="Unique_Item_Requests",INDEX($I$26:$I67,MATCH(C67,$F$26:$F67,0)),
IF(C_MEAS="Total_Item_Investigations",INDEX($J$26:$J67,MATCH(C67,$F$26:$F67,0)),
IF(C_MEAS="Unique_Item_Investigations",INDEX($K$26:$K67,MATCH(C67,$F$26:$F67,0)),
IF(C_MEAS="User",INDEX($L$26:$L67,MATCH(C67,$F$26:$F67,0))
))))))</f>
        <v>#N/A</v>
      </c>
      <c r="F67"/>
      <c r="G67"/>
      <c r="H67"/>
      <c r="I67"/>
      <c r="J67"/>
      <c r="K67"/>
      <c r="L67"/>
      <c r="AG67" s="66">
        <f t="array" ref="AG67">_xlfn.UNIQUE(AJ67:AJ67)</f>
        <v>0</v>
      </c>
      <c r="AH67" s="32" t="e">
        <f>IF(CMEAS_2="Sessions",INDEX($AK67:$AK76,MATCH(AG67,$AJ$26:$AJ76,0)),
IF(CMEAS_2="Total_Item_Requests",INDEX($AL$26:$AL76,MATCH(AG67,$AJ$26:$AJ76,0)),
IF(CMEAS_2="Unique_Item_Requests",INDEX($AO$26:$AO76,MATCH(AG67,$AJ$26:$AJ76,0)),
IF(CMEAS_2="Total_Item_Investigations",INDEX($AM$26:$AM76,MATCH(AG67,$AJ$26:$AJ76,0)),
IF(CMEAS_2="Unique_Item_Investigations",INDEX($AN$26:$AN76,MATCH(AG67,$AJ$26:$AJ76,0)),
IF(CMEAS_2="User",INDEX($AP$26:$AP76,MATCH(AG67,$AJ$26:$AJ76,0)),
))))))</f>
        <v>#N/A</v>
      </c>
      <c r="AJ67"/>
      <c r="AK67"/>
      <c r="AL67"/>
      <c r="AM67"/>
      <c r="AN67"/>
      <c r="AO67"/>
      <c r="AP67"/>
    </row>
    <row r="68" spans="3:42" x14ac:dyDescent="0.35">
      <c r="C68" s="9">
        <f t="array" ref="C68">_xlfn.UNIQUE(F68:F68)</f>
        <v>0</v>
      </c>
      <c r="D68" s="13" t="e">
        <f>IF(C_MEAS="Sessions",INDEX($G$26:G68,MATCH(C68,$F$26:$F68,0)),
IF(C_MEAS="Total_Item_Requests",INDEX($H$26:$H68,MATCH(C68,$F$26:$F68,0)),
IF(C_MEAS="Unique_Item_Requests",INDEX($I$26:$I68,MATCH(C68,$F$26:$F68,0)),
IF(C_MEAS="Total_Item_Investigations",INDEX($J$26:$J68,MATCH(C68,$F$26:$F68,0)),
IF(C_MEAS="Unique_Item_Investigations",INDEX($K$26:$K68,MATCH(C68,$F$26:$F68,0)),
IF(C_MEAS="User",INDEX($L$26:$L68,MATCH(C68,$F$26:$F68,0))
))))))</f>
        <v>#N/A</v>
      </c>
      <c r="F68"/>
      <c r="G68"/>
      <c r="H68"/>
      <c r="I68"/>
      <c r="J68"/>
      <c r="K68"/>
      <c r="L68"/>
      <c r="AG68" s="66">
        <f t="array" ref="AG68">_xlfn.UNIQUE(AJ68:AJ68)</f>
        <v>0</v>
      </c>
      <c r="AH68" s="32" t="e">
        <f>IF(CMEAS_2="Sessions",INDEX($AK68:$AK77,MATCH(AG68,$AJ$26:$AJ77,0)),
IF(CMEAS_2="Total_Item_Requests",INDEX($AL$26:$AL77,MATCH(AG68,$AJ$26:$AJ77,0)),
IF(CMEAS_2="Unique_Item_Requests",INDEX($AO$26:$AO77,MATCH(AG68,$AJ$26:$AJ77,0)),
IF(CMEAS_2="Total_Item_Investigations",INDEX($AM$26:$AM77,MATCH(AG68,$AJ$26:$AJ77,0)),
IF(CMEAS_2="Unique_Item_Investigations",INDEX($AN$26:$AN77,MATCH(AG68,$AJ$26:$AJ77,0)),
IF(CMEAS_2="User",INDEX($AP$26:$AP77,MATCH(AG68,$AJ$26:$AJ77,0)),
))))))</f>
        <v>#N/A</v>
      </c>
      <c r="AJ68"/>
      <c r="AK68"/>
      <c r="AL68"/>
      <c r="AM68"/>
      <c r="AN68"/>
      <c r="AO68"/>
      <c r="AP68"/>
    </row>
    <row r="69" spans="3:42" x14ac:dyDescent="0.35">
      <c r="C69" s="9">
        <f t="array" ref="C69">_xlfn.UNIQUE(F69:F69)</f>
        <v>0</v>
      </c>
      <c r="D69" s="13" t="e">
        <f>IF(C_MEAS="Sessions",INDEX($G$26:G69,MATCH(C69,$F$26:$F69,0)),
IF(C_MEAS="Total_Item_Requests",INDEX($H$26:$H69,MATCH(C69,$F$26:$F69,0)),
IF(C_MEAS="Unique_Item_Requests",INDEX($I$26:$I69,MATCH(C69,$F$26:$F69,0)),
IF(C_MEAS="Total_Item_Investigations",INDEX($J$26:$J69,MATCH(C69,$F$26:$F69,0)),
IF(C_MEAS="Unique_Item_Investigations",INDEX($K$26:$K69,MATCH(C69,$F$26:$F69,0)),
IF(C_MEAS="User",INDEX($L$26:$L69,MATCH(C69,$F$26:$F69,0))
))))))</f>
        <v>#N/A</v>
      </c>
      <c r="F69"/>
      <c r="G69"/>
      <c r="H69"/>
      <c r="I69"/>
      <c r="J69"/>
      <c r="K69"/>
      <c r="L69"/>
      <c r="AG69" s="66">
        <f t="array" ref="AG69">_xlfn.UNIQUE(AJ69:AJ69)</f>
        <v>0</v>
      </c>
      <c r="AH69" s="32" t="e">
        <f>IF(CMEAS_2="Sessions",INDEX($AK69:$AK78,MATCH(AG69,$AJ$26:$AJ78,0)),
IF(CMEAS_2="Total_Item_Requests",INDEX($AL$26:$AL78,MATCH(AG69,$AJ$26:$AJ78,0)),
IF(CMEAS_2="Unique_Item_Requests",INDEX($AO$26:$AO78,MATCH(AG69,$AJ$26:$AJ78,0)),
IF(CMEAS_2="Total_Item_Investigations",INDEX($AM$26:$AM78,MATCH(AG69,$AJ$26:$AJ78,0)),
IF(CMEAS_2="Unique_Item_Investigations",INDEX($AN$26:$AN78,MATCH(AG69,$AJ$26:$AJ78,0)),
IF(CMEAS_2="User",INDEX($AP$26:$AP78,MATCH(AG69,$AJ$26:$AJ78,0)),
))))))</f>
        <v>#N/A</v>
      </c>
      <c r="AJ69"/>
      <c r="AK69"/>
      <c r="AL69"/>
      <c r="AM69"/>
      <c r="AN69"/>
      <c r="AO69"/>
      <c r="AP69"/>
    </row>
    <row r="70" spans="3:42" x14ac:dyDescent="0.35">
      <c r="C70" s="9">
        <f t="array" ref="C70">_xlfn.UNIQUE(F70:F70)</f>
        <v>0</v>
      </c>
      <c r="D70" s="13" t="e">
        <f>IF(C_MEAS="Sessions",INDEX($G$26:G70,MATCH(C70,$F$26:$F70,0)),
IF(C_MEAS="Total_Item_Requests",INDEX($H$26:$H70,MATCH(C70,$F$26:$F70,0)),
IF(C_MEAS="Unique_Item_Requests",INDEX($I$26:$I70,MATCH(C70,$F$26:$F70,0)),
IF(C_MEAS="Total_Item_Investigations",INDEX($J$26:$J70,MATCH(C70,$F$26:$F70,0)),
IF(C_MEAS="Unique_Item_Investigations",INDEX($K$26:$K70,MATCH(C70,$F$26:$F70,0)),
IF(C_MEAS="User",INDEX($L$26:$L70,MATCH(C70,$F$26:$F70,0))
))))))</f>
        <v>#N/A</v>
      </c>
      <c r="F70"/>
      <c r="G70"/>
      <c r="H70"/>
      <c r="I70"/>
      <c r="J70"/>
      <c r="K70"/>
      <c r="L70"/>
      <c r="AG70" s="66">
        <f t="array" ref="AG70">_xlfn.UNIQUE(AJ70:AJ70)</f>
        <v>0</v>
      </c>
      <c r="AH70" s="32" t="e">
        <f>IF(CMEAS_2="Sessions",INDEX($AK70:$AK79,MATCH(AG70,$AJ$26:$AJ79,0)),
IF(CMEAS_2="Total_Item_Requests",INDEX($AL$26:$AL79,MATCH(AG70,$AJ$26:$AJ79,0)),
IF(CMEAS_2="Unique_Item_Requests",INDEX($AO$26:$AO79,MATCH(AG70,$AJ$26:$AJ79,0)),
IF(CMEAS_2="Total_Item_Investigations",INDEX($AM$26:$AM79,MATCH(AG70,$AJ$26:$AJ79,0)),
IF(CMEAS_2="Unique_Item_Investigations",INDEX($AN$26:$AN79,MATCH(AG70,$AJ$26:$AJ79,0)),
IF(CMEAS_2="User",INDEX($AP$26:$AP79,MATCH(AG70,$AJ$26:$AJ79,0)),
))))))</f>
        <v>#N/A</v>
      </c>
      <c r="AJ70"/>
      <c r="AK70"/>
      <c r="AL70"/>
      <c r="AM70"/>
      <c r="AN70"/>
      <c r="AO70"/>
      <c r="AP70"/>
    </row>
    <row r="71" spans="3:42" x14ac:dyDescent="0.35">
      <c r="C71" s="9">
        <f t="array" ref="C71">_xlfn.UNIQUE(F71:F71)</f>
        <v>0</v>
      </c>
      <c r="D71" s="13" t="e">
        <f>IF(C_MEAS="Sessions",INDEX($G$26:G71,MATCH(C71,$F$26:$F71,0)),
IF(C_MEAS="Total_Item_Requests",INDEX($H$26:$H71,MATCH(C71,$F$26:$F71,0)),
IF(C_MEAS="Unique_Item_Requests",INDEX($I$26:$I71,MATCH(C71,$F$26:$F71,0)),
IF(C_MEAS="Total_Item_Investigations",INDEX($J$26:$J71,MATCH(C71,$F$26:$F71,0)),
IF(C_MEAS="Unique_Item_Investigations",INDEX($K$26:$K71,MATCH(C71,$F$26:$F71,0)),
IF(C_MEAS="User",INDEX($L$26:$L71,MATCH(C71,$F$26:$F71,0))
))))))</f>
        <v>#N/A</v>
      </c>
      <c r="F71"/>
      <c r="G71"/>
      <c r="H71"/>
      <c r="I71"/>
      <c r="J71"/>
      <c r="K71"/>
      <c r="L71"/>
    </row>
    <row r="72" spans="3:42" x14ac:dyDescent="0.35">
      <c r="C72" s="9">
        <f t="array" ref="C72">_xlfn.UNIQUE(F72:F72)</f>
        <v>0</v>
      </c>
      <c r="D72" s="13" t="e">
        <f>IF(C_MEAS="Sessions",INDEX($G$26:G72,MATCH(C72,$F$26:$F72,0)),
IF(C_MEAS="Total_Item_Requests",INDEX($H$26:$H72,MATCH(C72,$F$26:$F72,0)),
IF(C_MEAS="Unique_Item_Requests",INDEX($I$26:$I72,MATCH(C72,$F$26:$F72,0)),
IF(C_MEAS="Total_Item_Investigations",INDEX($J$26:$J72,MATCH(C72,$F$26:$F72,0)),
IF(C_MEAS="Unique_Item_Investigations",INDEX($K$26:$K72,MATCH(C72,$F$26:$F72,0)),
IF(C_MEAS="User",INDEX($L$26:$L72,MATCH(C72,$F$26:$F72,0))
))))))</f>
        <v>#N/A</v>
      </c>
      <c r="F72"/>
      <c r="G72"/>
      <c r="H72"/>
      <c r="I72"/>
      <c r="J72"/>
      <c r="K72"/>
      <c r="L72"/>
    </row>
    <row r="73" spans="3:42" x14ac:dyDescent="0.35">
      <c r="C73" s="9">
        <f t="array" ref="C73">_xlfn.UNIQUE(F73:F73)</f>
        <v>0</v>
      </c>
      <c r="D73" s="13" t="e">
        <f>IF(C_MEAS="Sessions",INDEX($G$26:G73,MATCH(C73,$F$26:$F73,0)),
IF(C_MEAS="Total_Item_Requests",INDEX($H$26:$H73,MATCH(C73,$F$26:$F73,0)),
IF(C_MEAS="Unique_Item_Requests",INDEX($I$26:$I73,MATCH(C73,$F$26:$F73,0)),
IF(C_MEAS="Total_Item_Investigations",INDEX($J$26:$J73,MATCH(C73,$F$26:$F73,0)),
IF(C_MEAS="Unique_Item_Investigations",INDEX($K$26:$K73,MATCH(C73,$F$26:$F73,0)),
IF(C_MEAS="User",INDEX($L$26:$L73,MATCH(C73,$F$26:$F73,0))
))))))</f>
        <v>#N/A</v>
      </c>
      <c r="F73"/>
      <c r="G73"/>
      <c r="H73"/>
      <c r="I73"/>
      <c r="J73"/>
      <c r="K73"/>
      <c r="L73"/>
    </row>
    <row r="74" spans="3:42" x14ac:dyDescent="0.35">
      <c r="C74" s="9">
        <f t="array" ref="C74">_xlfn.UNIQUE(F74:F74)</f>
        <v>0</v>
      </c>
      <c r="D74" s="13" t="e">
        <f>IF(C_MEAS="Sessions",INDEX($G$26:G74,MATCH(C74,$F$26:$F74,0)),
IF(C_MEAS="Total_Item_Requests",INDEX($H$26:$H74,MATCH(C74,$F$26:$F74,0)),
IF(C_MEAS="Unique_Item_Requests",INDEX($I$26:$I74,MATCH(C74,$F$26:$F74,0)),
IF(C_MEAS="Total_Item_Investigations",INDEX($J$26:$J74,MATCH(C74,$F$26:$F74,0)),
IF(C_MEAS="Unique_Item_Investigations",INDEX($K$26:$K74,MATCH(C74,$F$26:$F74,0)),
IF(C_MEAS="User",INDEX($L$26:$L74,MATCH(C74,$F$26:$F74,0))
))))))</f>
        <v>#N/A</v>
      </c>
      <c r="F74"/>
      <c r="G74"/>
      <c r="H74"/>
      <c r="I74"/>
      <c r="J74"/>
      <c r="K74"/>
      <c r="L74"/>
    </row>
    <row r="75" spans="3:42" x14ac:dyDescent="0.35">
      <c r="C75" s="9">
        <f t="array" ref="C75">_xlfn.UNIQUE(F75:F75)</f>
        <v>0</v>
      </c>
      <c r="D75" s="13" t="e">
        <f>IF(C_MEAS="Sessions",INDEX($G$26:G75,MATCH(C75,$F$26:$F75,0)),
IF(C_MEAS="Total_Item_Requests",INDEX($H$26:$H75,MATCH(C75,$F$26:$F75,0)),
IF(C_MEAS="Unique_Item_Requests",INDEX($I$26:$I75,MATCH(C75,$F$26:$F75,0)),
IF(C_MEAS="Total_Item_Investigations",INDEX($J$26:$J75,MATCH(C75,$F$26:$F75,0)),
IF(C_MEAS="Unique_Item_Investigations",INDEX($K$26:$K75,MATCH(C75,$F$26:$F75,0)),
IF(C_MEAS="User",INDEX($L$26:$L75,MATCH(C75,$F$26:$F75,0))
))))))</f>
        <v>#N/A</v>
      </c>
      <c r="F75"/>
      <c r="G75"/>
      <c r="H75"/>
      <c r="I75"/>
      <c r="J75"/>
      <c r="K75"/>
      <c r="L75"/>
    </row>
    <row r="76" spans="3:42" x14ac:dyDescent="0.35">
      <c r="C76" s="9">
        <f t="array" ref="C76">_xlfn.UNIQUE(F76:F76)</f>
        <v>0</v>
      </c>
      <c r="D76" s="13" t="e">
        <f>IF(C_MEAS="Sessions",INDEX($G$26:G76,MATCH(C76,$F$26:$F76,0)),
IF(C_MEAS="Total_Item_Requests",INDEX($H$26:$H76,MATCH(C76,$F$26:$F76,0)),
IF(C_MEAS="Unique_Item_Requests",INDEX($I$26:$I76,MATCH(C76,$F$26:$F76,0)),
IF(C_MEAS="Total_Item_Investigations",INDEX($J$26:$J76,MATCH(C76,$F$26:$F76,0)),
IF(C_MEAS="Unique_Item_Investigations",INDEX($K$26:$K76,MATCH(C76,$F$26:$F76,0)),
IF(C_MEAS="User",INDEX($L$26:$L76,MATCH(C76,$F$26:$F76,0))
))))))</f>
        <v>#N/A</v>
      </c>
      <c r="F76"/>
      <c r="G76"/>
      <c r="H76"/>
      <c r="I76"/>
      <c r="J76"/>
      <c r="K76"/>
      <c r="L76"/>
    </row>
    <row r="77" spans="3:42" x14ac:dyDescent="0.35">
      <c r="C77" s="9">
        <f t="array" ref="C77">_xlfn.UNIQUE(F77:F77)</f>
        <v>0</v>
      </c>
      <c r="D77" s="13" t="e">
        <f>IF(C_MEAS="Sessions",INDEX($G$26:G77,MATCH(C77,$F$26:$F77,0)),
IF(C_MEAS="Total_Item_Requests",INDEX($H$26:$H77,MATCH(C77,$F$26:$F77,0)),
IF(C_MEAS="Unique_Item_Requests",INDEX($I$26:$I77,MATCH(C77,$F$26:$F77,0)),
IF(C_MEAS="Total_Item_Investigations",INDEX($J$26:$J77,MATCH(C77,$F$26:$F77,0)),
IF(C_MEAS="Unique_Item_Investigations",INDEX($K$26:$K77,MATCH(C77,$F$26:$F77,0)),
IF(C_MEAS="User",INDEX($L$26:$L77,MATCH(C77,$F$26:$F77,0))
))))))</f>
        <v>#N/A</v>
      </c>
      <c r="F77"/>
      <c r="G77"/>
      <c r="H77"/>
      <c r="I77"/>
      <c r="J77"/>
      <c r="K77"/>
      <c r="L77"/>
    </row>
    <row r="78" spans="3:42" x14ac:dyDescent="0.35">
      <c r="C78" s="9">
        <f t="array" ref="C78">_xlfn.UNIQUE(F78:F78)</f>
        <v>0</v>
      </c>
      <c r="D78" s="13" t="e">
        <f>IF(C_MEAS="Sessions",INDEX($G$26:G78,MATCH(C78,$F$26:$F78,0)),
IF(C_MEAS="Total_Item_Requests",INDEX($H$26:$H78,MATCH(C78,$F$26:$F78,0)),
IF(C_MEAS="Unique_Item_Requests",INDEX($I$26:$I78,MATCH(C78,$F$26:$F78,0)),
IF(C_MEAS="Total_Item_Investigations",INDEX($J$26:$J78,MATCH(C78,$F$26:$F78,0)),
IF(C_MEAS="Unique_Item_Investigations",INDEX($K$26:$K78,MATCH(C78,$F$26:$F78,0)),
IF(C_MEAS="User",INDEX($L$26:$L78,MATCH(C78,$F$26:$F78,0))
))))))</f>
        <v>#N/A</v>
      </c>
      <c r="F78"/>
      <c r="G78"/>
      <c r="H78"/>
      <c r="I78"/>
      <c r="J78"/>
      <c r="K78"/>
      <c r="L78"/>
    </row>
    <row r="79" spans="3:42" x14ac:dyDescent="0.35">
      <c r="C79" s="9">
        <f t="array" ref="C79">_xlfn.UNIQUE(F79:F79)</f>
        <v>0</v>
      </c>
      <c r="D79" s="13" t="e">
        <f>IF(C_MEAS="Sessions",INDEX($G$26:G79,MATCH(C79,$F$26:$F79,0)),
IF(C_MEAS="Total_Item_Requests",INDEX($H$26:$H79,MATCH(C79,$F$26:$F79,0)),
IF(C_MEAS="Unique_Item_Requests",INDEX($I$26:$I79,MATCH(C79,$F$26:$F79,0)),
IF(C_MEAS="Total_Item_Investigations",INDEX($J$26:$J79,MATCH(C79,$F$26:$F79,0)),
IF(C_MEAS="Unique_Item_Investigations",INDEX($K$26:$K79,MATCH(C79,$F$26:$F79,0)),
IF(C_MEAS="User",INDEX($L$26:$L79,MATCH(C79,$F$26:$F79,0))
))))))</f>
        <v>#N/A</v>
      </c>
      <c r="F79"/>
      <c r="G79"/>
      <c r="H79"/>
      <c r="I79"/>
      <c r="J79"/>
      <c r="K79"/>
      <c r="L79"/>
    </row>
    <row r="80" spans="3:42" x14ac:dyDescent="0.35">
      <c r="C80" s="9">
        <f t="array" ref="C80">_xlfn.UNIQUE(F80:F80)</f>
        <v>0</v>
      </c>
      <c r="D80" s="13" t="e">
        <f>IF(C_MEAS="Sessions",INDEX($G$26:G80,MATCH(C80,$F$26:$F80,0)),
IF(C_MEAS="Total_Item_Requests",INDEX($H$26:$H80,MATCH(C80,$F$26:$F80,0)),
IF(C_MEAS="Unique_Item_Requests",INDEX($I$26:$I80,MATCH(C80,$F$26:$F80,0)),
IF(C_MEAS="Total_Item_Investigations",INDEX($J$26:$J80,MATCH(C80,$F$26:$F80,0)),
IF(C_MEAS="Unique_Item_Investigations",INDEX($K$26:$K80,MATCH(C80,$F$26:$F80,0)),
IF(C_MEAS="User",INDEX($L$26:$L80,MATCH(C80,$F$26:$F80,0))
))))))</f>
        <v>#N/A</v>
      </c>
      <c r="F80"/>
      <c r="G80"/>
      <c r="H80"/>
      <c r="I80"/>
      <c r="J80"/>
      <c r="K80"/>
      <c r="L80"/>
    </row>
    <row r="81" spans="3:12" x14ac:dyDescent="0.35">
      <c r="C81" s="9">
        <f t="array" ref="C81">_xlfn.UNIQUE(F81:F81)</f>
        <v>0</v>
      </c>
      <c r="D81" s="13" t="e">
        <f>IF(C_MEAS="Sessions",INDEX($G$26:G81,MATCH(C81,$F$26:$F81,0)),
IF(C_MEAS="Total_Item_Requests",INDEX($H$26:$H81,MATCH(C81,$F$26:$F81,0)),
IF(C_MEAS="Unique_Item_Requests",INDEX($I$26:$I81,MATCH(C81,$F$26:$F81,0)),
IF(C_MEAS="Total_Item_Investigations",INDEX($J$26:$J81,MATCH(C81,$F$26:$F81,0)),
IF(C_MEAS="Unique_Item_Investigations",INDEX($K$26:$K81,MATCH(C81,$F$26:$F81,0)),
IF(C_MEAS="User",INDEX($L$26:$L81,MATCH(C81,$F$26:$F81,0))
))))))</f>
        <v>#N/A</v>
      </c>
      <c r="F81"/>
      <c r="G81"/>
      <c r="H81"/>
      <c r="I81"/>
      <c r="J81"/>
      <c r="K81"/>
      <c r="L81"/>
    </row>
    <row r="82" spans="3:12" x14ac:dyDescent="0.35">
      <c r="C82" s="9">
        <f t="array" ref="C82">_xlfn.UNIQUE(F82:F82)</f>
        <v>0</v>
      </c>
      <c r="D82" s="13" t="e">
        <f>IF(C_MEAS="Sessions",INDEX($G$26:G82,MATCH(C82,$F$26:$F82,0)),
IF(C_MEAS="Total_Item_Requests",INDEX($H$26:$H82,MATCH(C82,$F$26:$F82,0)),
IF(C_MEAS="Unique_Item_Requests",INDEX($I$26:$I82,MATCH(C82,$F$26:$F82,0)),
IF(C_MEAS="Total_Item_Investigations",INDEX($J$26:$J82,MATCH(C82,$F$26:$F82,0)),
IF(C_MEAS="Unique_Item_Investigations",INDEX($K$26:$K82,MATCH(C82,$F$26:$F82,0)),
IF(C_MEAS="User",INDEX($L$26:$L82,MATCH(C82,$F$26:$F82,0))
))))))</f>
        <v>#N/A</v>
      </c>
      <c r="F82"/>
      <c r="G82"/>
      <c r="H82"/>
      <c r="I82"/>
      <c r="J82"/>
      <c r="K82"/>
      <c r="L82"/>
    </row>
    <row r="83" spans="3:12" x14ac:dyDescent="0.35">
      <c r="C83" s="9">
        <f t="array" ref="C83">_xlfn.UNIQUE(F83:F83)</f>
        <v>0</v>
      </c>
      <c r="D83" s="13" t="e">
        <f>IF(C_MEAS="Sessions",INDEX($G$26:G83,MATCH(C83,$F$26:$F83,0)),
IF(C_MEAS="Total_Item_Requests",INDEX($H$26:$H83,MATCH(C83,$F$26:$F83,0)),
IF(C_MEAS="Unique_Item_Requests",INDEX($I$26:$I83,MATCH(C83,$F$26:$F83,0)),
IF(C_MEAS="Total_Item_Investigations",INDEX($J$26:$J83,MATCH(C83,$F$26:$F83,0)),
IF(C_MEAS="Unique_Item_Investigations",INDEX($K$26:$K83,MATCH(C83,$F$26:$F83,0)),
IF(C_MEAS="User",INDEX($L$26:$L83,MATCH(C83,$F$26:$F83,0))
))))))</f>
        <v>#N/A</v>
      </c>
      <c r="F83"/>
      <c r="G83"/>
      <c r="H83"/>
      <c r="I83"/>
      <c r="J83"/>
      <c r="K83"/>
      <c r="L83"/>
    </row>
    <row r="84" spans="3:12" x14ac:dyDescent="0.35">
      <c r="C84" s="9">
        <f t="array" ref="C84">_xlfn.UNIQUE(F84:F84)</f>
        <v>0</v>
      </c>
      <c r="D84" s="13" t="e">
        <f>IF(C_MEAS="Sessions",INDEX($G$26:G84,MATCH(C84,$F$26:$F84,0)),
IF(C_MEAS="Total_Item_Requests",INDEX($H$26:$H84,MATCH(C84,$F$26:$F84,0)),
IF(C_MEAS="Unique_Item_Requests",INDEX($I$26:$I84,MATCH(C84,$F$26:$F84,0)),
IF(C_MEAS="Total_Item_Investigations",INDEX($J$26:$J84,MATCH(C84,$F$26:$F84,0)),
IF(C_MEAS="Unique_Item_Investigations",INDEX($K$26:$K84,MATCH(C84,$F$26:$F84,0)),
IF(C_MEAS="User",INDEX($L$26:$L84,MATCH(C84,$F$26:$F84,0))
))))))</f>
        <v>#N/A</v>
      </c>
      <c r="F84"/>
      <c r="G84"/>
      <c r="H84"/>
      <c r="I84"/>
      <c r="J84"/>
      <c r="K84"/>
      <c r="L84"/>
    </row>
    <row r="85" spans="3:12" x14ac:dyDescent="0.35">
      <c r="C85" s="9">
        <f t="array" ref="C85">_xlfn.UNIQUE(F85:F85)</f>
        <v>0</v>
      </c>
      <c r="D85" s="13" t="e">
        <f>IF(C_MEAS="Sessions",INDEX($G$26:G85,MATCH(C85,$F$26:$F85,0)),
IF(C_MEAS="Total_Item_Requests",INDEX($H$26:$H85,MATCH(C85,$F$26:$F85,0)),
IF(C_MEAS="Unique_Item_Requests",INDEX($I$26:$I85,MATCH(C85,$F$26:$F85,0)),
IF(C_MEAS="Total_Item_Investigations",INDEX($J$26:$J85,MATCH(C85,$F$26:$F85,0)),
IF(C_MEAS="Unique_Item_Investigations",INDEX($K$26:$K85,MATCH(C85,$F$26:$F85,0)),
IF(C_MEAS="User",INDEX($L$26:$L85,MATCH(C85,$F$26:$F85,0))
))))))</f>
        <v>#N/A</v>
      </c>
      <c r="F85"/>
      <c r="G85"/>
      <c r="H85"/>
      <c r="I85"/>
      <c r="J85"/>
      <c r="K85"/>
      <c r="L85"/>
    </row>
    <row r="86" spans="3:12" x14ac:dyDescent="0.35">
      <c r="C86" s="9">
        <f t="array" ref="C86">_xlfn.UNIQUE(F86:F86)</f>
        <v>0</v>
      </c>
      <c r="D86" s="13" t="e">
        <f>IF(C_MEAS="Sessions",INDEX($G$26:G86,MATCH(C86,$F$26:$F86,0)),
IF(C_MEAS="Total_Item_Requests",INDEX($H$26:$H86,MATCH(C86,$F$26:$F86,0)),
IF(C_MEAS="Unique_Item_Requests",INDEX($I$26:$I86,MATCH(C86,$F$26:$F86,0)),
IF(C_MEAS="Total_Item_Investigations",INDEX($J$26:$J86,MATCH(C86,$F$26:$F86,0)),
IF(C_MEAS="Unique_Item_Investigations",INDEX($K$26:$K86,MATCH(C86,$F$26:$F86,0)),
IF(C_MEAS="User",INDEX($L$26:$L86,MATCH(C86,$F$26:$F86,0))
))))))</f>
        <v>#N/A</v>
      </c>
      <c r="F86"/>
      <c r="G86"/>
      <c r="H86"/>
      <c r="I86"/>
      <c r="J86"/>
      <c r="K86"/>
      <c r="L86"/>
    </row>
    <row r="87" spans="3:12" x14ac:dyDescent="0.35">
      <c r="C87" s="9">
        <f t="array" ref="C87">_xlfn.UNIQUE(F87:F87)</f>
        <v>0</v>
      </c>
      <c r="D87" s="13" t="e">
        <f>IF(C_MEAS="Sessions",INDEX($G$26:G87,MATCH(C87,$F$26:$F87,0)),
IF(C_MEAS="Total_Item_Requests",INDEX($H$26:$H87,MATCH(C87,$F$26:$F87,0)),
IF(C_MEAS="Unique_Item_Requests",INDEX($I$26:$I87,MATCH(C87,$F$26:$F87,0)),
IF(C_MEAS="Total_Item_Investigations",INDEX($J$26:$J87,MATCH(C87,$F$26:$F87,0)),
IF(C_MEAS="Unique_Item_Investigations",INDEX($K$26:$K87,MATCH(C87,$F$26:$F87,0)),
IF(C_MEAS="User",INDEX($L$26:$L87,MATCH(C87,$F$26:$F87,0))
))))))</f>
        <v>#N/A</v>
      </c>
      <c r="F87"/>
      <c r="G87"/>
      <c r="H87"/>
      <c r="I87"/>
      <c r="J87"/>
      <c r="K87"/>
      <c r="L87"/>
    </row>
    <row r="88" spans="3:12" x14ac:dyDescent="0.35">
      <c r="C88" s="9">
        <f t="array" ref="C88">_xlfn.UNIQUE(F88:F88)</f>
        <v>0</v>
      </c>
      <c r="D88" s="13" t="e">
        <f>IF(C_MEAS="Sessions",INDEX($G$26:G88,MATCH(C88,$F$26:$F88,0)),
IF(C_MEAS="Total_Item_Requests",INDEX($H$26:$H88,MATCH(C88,$F$26:$F88,0)),
IF(C_MEAS="Unique_Item_Requests",INDEX($I$26:$I88,MATCH(C88,$F$26:$F88,0)),
IF(C_MEAS="Total_Item_Investigations",INDEX($J$26:$J88,MATCH(C88,$F$26:$F88,0)),
IF(C_MEAS="Unique_Item_Investigations",INDEX($K$26:$K88,MATCH(C88,$F$26:$F88,0)),
IF(C_MEAS="User",INDEX($L$26:$L88,MATCH(C88,$F$26:$F88,0))
))))))</f>
        <v>#N/A</v>
      </c>
      <c r="F88"/>
      <c r="G88"/>
      <c r="H88"/>
      <c r="I88"/>
      <c r="J88"/>
      <c r="K88"/>
      <c r="L88"/>
    </row>
    <row r="89" spans="3:12" x14ac:dyDescent="0.35">
      <c r="C89" s="9">
        <f t="array" ref="C89">_xlfn.UNIQUE(F89:F89)</f>
        <v>0</v>
      </c>
      <c r="D89" s="13" t="e">
        <f>IF(C_MEAS="Sessions",INDEX($G$26:G89,MATCH(C89,$F$26:$F89,0)),
IF(C_MEAS="Total_Item_Requests",INDEX($H$26:$H89,MATCH(C89,$F$26:$F89,0)),
IF(C_MEAS="Unique_Item_Requests",INDEX($I$26:$I89,MATCH(C89,$F$26:$F89,0)),
IF(C_MEAS="Total_Item_Investigations",INDEX($J$26:$J89,MATCH(C89,$F$26:$F89,0)),
IF(C_MEAS="Unique_Item_Investigations",INDEX($K$26:$K89,MATCH(C89,$F$26:$F89,0)),
IF(C_MEAS="User",INDEX($L$26:$L89,MATCH(C89,$F$26:$F89,0))
))))))</f>
        <v>#N/A</v>
      </c>
      <c r="F89"/>
      <c r="G89"/>
      <c r="H89"/>
      <c r="I89"/>
      <c r="J89"/>
      <c r="K89"/>
      <c r="L89"/>
    </row>
    <row r="90" spans="3:12" x14ac:dyDescent="0.35">
      <c r="C90" s="9">
        <f t="array" ref="C90">_xlfn.UNIQUE(F90:F90)</f>
        <v>0</v>
      </c>
      <c r="D90" s="13" t="e">
        <f>IF(C_MEAS="Sessions",INDEX($G$26:G90,MATCH(C90,$F$26:$F90,0)),
IF(C_MEAS="Total_Item_Requests",INDEX($H$26:$H90,MATCH(C90,$F$26:$F90,0)),
IF(C_MEAS="Unique_Item_Requests",INDEX($I$26:$I90,MATCH(C90,$F$26:$F90,0)),
IF(C_MEAS="Total_Item_Investigations",INDEX($J$26:$J90,MATCH(C90,$F$26:$F90,0)),
IF(C_MEAS="Unique_Item_Investigations",INDEX($K$26:$K90,MATCH(C90,$F$26:$F90,0)),
IF(C_MEAS="User",INDEX($L$26:$L90,MATCH(C90,$F$26:$F90,0))
))))))</f>
        <v>#N/A</v>
      </c>
      <c r="F90"/>
      <c r="G90"/>
      <c r="H90"/>
      <c r="I90"/>
      <c r="J90"/>
      <c r="K90"/>
      <c r="L90"/>
    </row>
    <row r="91" spans="3:12" x14ac:dyDescent="0.35">
      <c r="C91" s="9">
        <f t="array" ref="C91">_xlfn.UNIQUE(F91:F91)</f>
        <v>0</v>
      </c>
      <c r="D91" s="13" t="e">
        <f>IF(C_MEAS="Sessions",INDEX($G$26:G91,MATCH(C91,$F$26:$F91,0)),
IF(C_MEAS="Total_Item_Requests",INDEX($H$26:$H91,MATCH(C91,$F$26:$F91,0)),
IF(C_MEAS="Unique_Item_Requests",INDEX($I$26:$I91,MATCH(C91,$F$26:$F91,0)),
IF(C_MEAS="Total_Item_Investigations",INDEX($J$26:$J91,MATCH(C91,$F$26:$F91,0)),
IF(C_MEAS="Unique_Item_Investigations",INDEX($K$26:$K91,MATCH(C91,$F$26:$F91,0)),
IF(C_MEAS="User",INDEX($L$26:$L91,MATCH(C91,$F$26:$F91,0))
))))))</f>
        <v>#N/A</v>
      </c>
      <c r="F91"/>
      <c r="G91"/>
      <c r="H91"/>
      <c r="I91"/>
      <c r="J91"/>
      <c r="K91"/>
      <c r="L91"/>
    </row>
    <row r="92" spans="3:12" x14ac:dyDescent="0.35">
      <c r="C92" s="9">
        <f t="array" ref="C92">_xlfn.UNIQUE(F92:F92)</f>
        <v>0</v>
      </c>
      <c r="D92" s="13" t="e">
        <f>IF(C_MEAS="Sessions",INDEX($G$26:G92,MATCH(C92,$F$26:$F92,0)),
IF(C_MEAS="Total_Item_Requests",INDEX($H$26:$H92,MATCH(C92,$F$26:$F92,0)),
IF(C_MEAS="Unique_Item_Requests",INDEX($I$26:$I92,MATCH(C92,$F$26:$F92,0)),
IF(C_MEAS="Total_Item_Investigations",INDEX($J$26:$J92,MATCH(C92,$F$26:$F92,0)),
IF(C_MEAS="Unique_Item_Investigations",INDEX($K$26:$K92,MATCH(C92,$F$26:$F92,0)),
IF(C_MEAS="User",INDEX($L$26:$L92,MATCH(C92,$F$26:$F92,0))
))))))</f>
        <v>#N/A</v>
      </c>
      <c r="F92"/>
      <c r="G92"/>
      <c r="H92"/>
      <c r="I92"/>
      <c r="J92"/>
      <c r="K92"/>
      <c r="L92"/>
    </row>
    <row r="93" spans="3:12" x14ac:dyDescent="0.35">
      <c r="C93" s="9">
        <f t="array" ref="C93">_xlfn.UNIQUE(F93:F93)</f>
        <v>0</v>
      </c>
      <c r="D93" s="13" t="e">
        <f>IF(C_MEAS="Sessions",INDEX($G$26:G93,MATCH(C93,$F$26:$F93,0)),
IF(C_MEAS="Total_Item_Requests",INDEX($H$26:$H93,MATCH(C93,$F$26:$F93,0)),
IF(C_MEAS="Unique_Item_Requests",INDEX($I$26:$I93,MATCH(C93,$F$26:$F93,0)),
IF(C_MEAS="Total_Item_Investigations",INDEX($J$26:$J93,MATCH(C93,$F$26:$F93,0)),
IF(C_MEAS="Unique_Item_Investigations",INDEX($K$26:$K93,MATCH(C93,$F$26:$F93,0)),
IF(C_MEAS="User",INDEX($L$26:$L93,MATCH(C93,$F$26:$F93,0))
))))))</f>
        <v>#N/A</v>
      </c>
      <c r="F93"/>
      <c r="G93"/>
      <c r="H93"/>
      <c r="I93"/>
      <c r="J93"/>
      <c r="K93"/>
      <c r="L93"/>
    </row>
    <row r="94" spans="3:12" x14ac:dyDescent="0.35">
      <c r="C94" s="9">
        <f t="array" ref="C94">_xlfn.UNIQUE(F94:F94)</f>
        <v>0</v>
      </c>
      <c r="D94" s="13" t="e">
        <f>IF(C_MEAS="Sessions",INDEX($G$26:G94,MATCH(C94,$F$26:$F94,0)),
IF(C_MEAS="Total_Item_Requests",INDEX($H$26:$H94,MATCH(C94,$F$26:$F94,0)),
IF(C_MEAS="Unique_Item_Requests",INDEX($I$26:$I94,MATCH(C94,$F$26:$F94,0)),
IF(C_MEAS="Total_Item_Investigations",INDEX($J$26:$J94,MATCH(C94,$F$26:$F94,0)),
IF(C_MEAS="Unique_Item_Investigations",INDEX($K$26:$K94,MATCH(C94,$F$26:$F94,0)),
IF(C_MEAS="User",INDEX($L$26:$L94,MATCH(C94,$F$26:$F94,0))
))))))</f>
        <v>#N/A</v>
      </c>
      <c r="F94"/>
      <c r="G94"/>
      <c r="H94"/>
      <c r="I94"/>
      <c r="J94"/>
      <c r="K94"/>
      <c r="L94"/>
    </row>
    <row r="95" spans="3:12" x14ac:dyDescent="0.35">
      <c r="C95" s="9">
        <f t="array" ref="C95">_xlfn.UNIQUE(F95:F95)</f>
        <v>0</v>
      </c>
      <c r="D95" s="13" t="e">
        <f>IF(C_MEAS="Sessions",INDEX($G$26:G95,MATCH(C95,$F$26:$F95,0)),
IF(C_MEAS="Total_Item_Requests",INDEX($H$26:$H95,MATCH(C95,$F$26:$F95,0)),
IF(C_MEAS="Unique_Item_Requests",INDEX($I$26:$I95,MATCH(C95,$F$26:$F95,0)),
IF(C_MEAS="Total_Item_Investigations",INDEX($J$26:$J95,MATCH(C95,$F$26:$F95,0)),
IF(C_MEAS="Unique_Item_Investigations",INDEX($K$26:$K95,MATCH(C95,$F$26:$F95,0)),
IF(C_MEAS="User",INDEX($L$26:$L95,MATCH(C95,$F$26:$F95,0))
))))))</f>
        <v>#N/A</v>
      </c>
      <c r="F95"/>
      <c r="G95"/>
      <c r="H95"/>
      <c r="I95"/>
      <c r="J95"/>
      <c r="K95"/>
      <c r="L95"/>
    </row>
    <row r="96" spans="3:12" x14ac:dyDescent="0.35">
      <c r="C96" s="9">
        <f t="array" ref="C96">_xlfn.UNIQUE(F96:F96)</f>
        <v>0</v>
      </c>
      <c r="D96" s="13" t="e">
        <f>IF(C_MEAS="Sessions",INDEX($G$26:G96,MATCH(C96,$F$26:$F96,0)),
IF(C_MEAS="Total_Item_Requests",INDEX($H$26:$H96,MATCH(C96,$F$26:$F96,0)),
IF(C_MEAS="Unique_Item_Requests",INDEX($I$26:$I96,MATCH(C96,$F$26:$F96,0)),
IF(C_MEAS="Total_Item_Investigations",INDEX($J$26:$J96,MATCH(C96,$F$26:$F96,0)),
IF(C_MEAS="Unique_Item_Investigations",INDEX($K$26:$K96,MATCH(C96,$F$26:$F96,0)),
IF(C_MEAS="User",INDEX($L$26:$L96,MATCH(C96,$F$26:$F96,0))
))))))</f>
        <v>#N/A</v>
      </c>
      <c r="F96"/>
      <c r="G96"/>
      <c r="H96"/>
      <c r="I96"/>
      <c r="J96"/>
      <c r="K96"/>
      <c r="L96"/>
    </row>
    <row r="97" spans="3:12" x14ac:dyDescent="0.35">
      <c r="C97" s="9">
        <f t="array" ref="C97">_xlfn.UNIQUE(F97:F97)</f>
        <v>0</v>
      </c>
      <c r="D97" s="13" t="e">
        <f>IF(C_MEAS="Sessions",INDEX($G$26:G97,MATCH(C97,$F$26:$F97,0)),
IF(C_MEAS="Total_Item_Requests",INDEX($H$26:$H97,MATCH(C97,$F$26:$F97,0)),
IF(C_MEAS="Unique_Item_Requests",INDEX($I$26:$I97,MATCH(C97,$F$26:$F97,0)),
IF(C_MEAS="Total_Item_Investigations",INDEX($J$26:$J97,MATCH(C97,$F$26:$F97,0)),
IF(C_MEAS="Unique_Item_Investigations",INDEX($K$26:$K97,MATCH(C97,$F$26:$F97,0)),
IF(C_MEAS="User",INDEX($L$26:$L97,MATCH(C97,$F$26:$F97,0))
))))))</f>
        <v>#N/A</v>
      </c>
      <c r="F97"/>
      <c r="G97"/>
      <c r="H97"/>
      <c r="I97"/>
      <c r="J97"/>
      <c r="K97"/>
      <c r="L97"/>
    </row>
    <row r="98" spans="3:12" x14ac:dyDescent="0.35">
      <c r="C98" s="9">
        <f t="array" ref="C98">_xlfn.UNIQUE(F98:F98)</f>
        <v>0</v>
      </c>
      <c r="D98" s="13" t="e">
        <f>IF(C_MEAS="Sessions",INDEX($G$26:G98,MATCH(C98,$F$26:$F98,0)),
IF(C_MEAS="Total_Item_Requests",INDEX($H$26:$H98,MATCH(C98,$F$26:$F98,0)),
IF(C_MEAS="Unique_Item_Requests",INDEX($I$26:$I98,MATCH(C98,$F$26:$F98,0)),
IF(C_MEAS="Total_Item_Investigations",INDEX($J$26:$J98,MATCH(C98,$F$26:$F98,0)),
IF(C_MEAS="Unique_Item_Investigations",INDEX($K$26:$K98,MATCH(C98,$F$26:$F98,0)),
IF(C_MEAS="User",INDEX($L$26:$L98,MATCH(C98,$F$26:$F98,0))
))))))</f>
        <v>#N/A</v>
      </c>
      <c r="F98"/>
      <c r="G98"/>
      <c r="H98"/>
      <c r="I98"/>
      <c r="J98"/>
      <c r="K98"/>
      <c r="L98"/>
    </row>
    <row r="99" spans="3:12" x14ac:dyDescent="0.35">
      <c r="C99" s="9">
        <f t="array" ref="C99">_xlfn.UNIQUE(F99:F99)</f>
        <v>0</v>
      </c>
      <c r="D99" s="13" t="e">
        <f>IF(C_MEAS="Sessions",INDEX($G$26:G99,MATCH(C99,$F$26:$F99,0)),
IF(C_MEAS="Total_Item_Requests",INDEX($H$26:$H99,MATCH(C99,$F$26:$F99,0)),
IF(C_MEAS="Unique_Item_Requests",INDEX($I$26:$I99,MATCH(C99,$F$26:$F99,0)),
IF(C_MEAS="Total_Item_Investigations",INDEX($J$26:$J99,MATCH(C99,$F$26:$F99,0)),
IF(C_MEAS="Unique_Item_Investigations",INDEX($K$26:$K99,MATCH(C99,$F$26:$F99,0)),
IF(C_MEAS="User",INDEX($L$26:$L99,MATCH(C99,$F$26:$F99,0))
))))))</f>
        <v>#N/A</v>
      </c>
      <c r="F99"/>
      <c r="G99"/>
      <c r="H99"/>
      <c r="I99"/>
      <c r="J99"/>
      <c r="K99"/>
      <c r="L99"/>
    </row>
    <row r="100" spans="3:12" x14ac:dyDescent="0.35">
      <c r="C100" s="9">
        <f t="array" ref="C100">_xlfn.UNIQUE(F100:F100)</f>
        <v>0</v>
      </c>
      <c r="D100" s="13" t="e">
        <f>IF(C_MEAS="Sessions",INDEX($G$26:G100,MATCH(C100,$F$26:$F100,0)),
IF(C_MEAS="Total_Item_Requests",INDEX($H$26:$H100,MATCH(C100,$F$26:$F100,0)),
IF(C_MEAS="Unique_Item_Requests",INDEX($I$26:$I100,MATCH(C100,$F$26:$F100,0)),
IF(C_MEAS="Total_Item_Investigations",INDEX($J$26:$J100,MATCH(C100,$F$26:$F100,0)),
IF(C_MEAS="Unique_Item_Investigations",INDEX($K$26:$K100,MATCH(C100,$F$26:$F100,0)),
IF(C_MEAS="User",INDEX($L$26:$L100,MATCH(C100,$F$26:$F100,0))
))))))</f>
        <v>#N/A</v>
      </c>
      <c r="F100"/>
      <c r="G100"/>
      <c r="H100"/>
      <c r="I100"/>
      <c r="J100"/>
      <c r="K100"/>
      <c r="L100"/>
    </row>
    <row r="101" spans="3:12" x14ac:dyDescent="0.35">
      <c r="C101" s="9">
        <f t="array" ref="C101">_xlfn.UNIQUE(F101:F101)</f>
        <v>0</v>
      </c>
      <c r="D101" s="13" t="e">
        <f>IF(C_MEAS="Sessions",INDEX($G$26:G101,MATCH(C101,$F$26:$F101,0)),
IF(C_MEAS="Total_Item_Requests",INDEX($H$26:$H101,MATCH(C101,$F$26:$F101,0)),
IF(C_MEAS="Unique_Item_Requests",INDEX($I$26:$I101,MATCH(C101,$F$26:$F101,0)),
IF(C_MEAS="Total_Item_Investigations",INDEX($J$26:$J101,MATCH(C101,$F$26:$F101,0)),
IF(C_MEAS="Unique_Item_Investigations",INDEX($K$26:$K101,MATCH(C101,$F$26:$F101,0)),
IF(C_MEAS="User",INDEX($L$26:$L101,MATCH(C101,$F$26:$F101,0))
))))))</f>
        <v>#N/A</v>
      </c>
      <c r="F101"/>
      <c r="G101"/>
      <c r="H101"/>
      <c r="I101"/>
      <c r="J101"/>
      <c r="K101"/>
      <c r="L101"/>
    </row>
    <row r="102" spans="3:12" x14ac:dyDescent="0.35">
      <c r="C102" s="9">
        <f t="array" ref="C102">_xlfn.UNIQUE(F102:F102)</f>
        <v>0</v>
      </c>
      <c r="D102" s="13" t="e">
        <f>IF(C_MEAS="Sessions",INDEX($G$26:G102,MATCH(C102,$F$26:$F102,0)),
IF(C_MEAS="Total_Item_Requests",INDEX($H$26:$H102,MATCH(C102,$F$26:$F102,0)),
IF(C_MEAS="Unique_Item_Requests",INDEX($I$26:$I102,MATCH(C102,$F$26:$F102,0)),
IF(C_MEAS="Total_Item_Investigations",INDEX($J$26:$J102,MATCH(C102,$F$26:$F102,0)),
IF(C_MEAS="Unique_Item_Investigations",INDEX($K$26:$K102,MATCH(C102,$F$26:$F102,0)),
IF(C_MEAS="User",INDEX($L$26:$L102,MATCH(C102,$F$26:$F102,0))
))))))</f>
        <v>#N/A</v>
      </c>
      <c r="F102"/>
      <c r="G102"/>
      <c r="H102"/>
      <c r="I102"/>
      <c r="J102"/>
      <c r="K102"/>
      <c r="L102"/>
    </row>
    <row r="103" spans="3:12" x14ac:dyDescent="0.35">
      <c r="C103" s="9">
        <f t="array" ref="C103">_xlfn.UNIQUE(F103:F103)</f>
        <v>0</v>
      </c>
      <c r="D103" s="13" t="e">
        <f>IF(C_MEAS="Sessions",INDEX($G$26:G103,MATCH(C103,$F$26:$F103,0)),
IF(C_MEAS="Total_Item_Requests",INDEX($H$26:$H103,MATCH(C103,$F$26:$F103,0)),
IF(C_MEAS="Unique_Item_Requests",INDEX($I$26:$I103,MATCH(C103,$F$26:$F103,0)),
IF(C_MEAS="Total_Item_Investigations",INDEX($J$26:$J103,MATCH(C103,$F$26:$F103,0)),
IF(C_MEAS="Unique_Item_Investigations",INDEX($K$26:$K103,MATCH(C103,$F$26:$F103,0)),
IF(C_MEAS="User",INDEX($L$26:$L103,MATCH(C103,$F$26:$F103,0))
))))))</f>
        <v>#N/A</v>
      </c>
      <c r="F103"/>
      <c r="G103"/>
      <c r="H103"/>
      <c r="I103"/>
      <c r="J103"/>
      <c r="K103"/>
      <c r="L103"/>
    </row>
    <row r="104" spans="3:12" x14ac:dyDescent="0.35">
      <c r="C104" s="9">
        <f t="array" ref="C104">_xlfn.UNIQUE(F104:F104)</f>
        <v>0</v>
      </c>
      <c r="D104" s="13" t="e">
        <f>IF(C_MEAS="Sessions",INDEX($G$26:G104,MATCH(C104,$F$26:$F104,0)),
IF(C_MEAS="Total_Item_Requests",INDEX($H$26:$H104,MATCH(C104,$F$26:$F104,0)),
IF(C_MEAS="Unique_Item_Requests",INDEX($I$26:$I104,MATCH(C104,$F$26:$F104,0)),
IF(C_MEAS="Total_Item_Investigations",INDEX($J$26:$J104,MATCH(C104,$F$26:$F104,0)),
IF(C_MEAS="Unique_Item_Investigations",INDEX($K$26:$K104,MATCH(C104,$F$26:$F104,0)),
IF(C_MEAS="User",INDEX($L$26:$L104,MATCH(C104,$F$26:$F104,0))
))))))</f>
        <v>#N/A</v>
      </c>
      <c r="F104"/>
      <c r="G104"/>
      <c r="H104"/>
      <c r="I104"/>
      <c r="J104"/>
      <c r="K104"/>
      <c r="L104"/>
    </row>
    <row r="105" spans="3:12" x14ac:dyDescent="0.35">
      <c r="C105" s="9">
        <f t="array" ref="C105">_xlfn.UNIQUE(F105:F105)</f>
        <v>0</v>
      </c>
      <c r="D105" s="13" t="e">
        <f>IF(C_MEAS="Sessions",INDEX($G$26:G105,MATCH(C105,$F$26:$F105,0)),
IF(C_MEAS="Total_Item_Requests",INDEX($H$26:$H105,MATCH(C105,$F$26:$F105,0)),
IF(C_MEAS="Unique_Item_Requests",INDEX($I$26:$I105,MATCH(C105,$F$26:$F105,0)),
IF(C_MEAS="Total_Item_Investigations",INDEX($J$26:$J105,MATCH(C105,$F$26:$F105,0)),
IF(C_MEAS="Unique_Item_Investigations",INDEX($K$26:$K105,MATCH(C105,$F$26:$F105,0)),
IF(C_MEAS="User",INDEX($L$26:$L105,MATCH(C105,$F$26:$F105,0))
))))))</f>
        <v>#N/A</v>
      </c>
      <c r="F105"/>
      <c r="G105"/>
      <c r="H105"/>
      <c r="I105"/>
      <c r="J105"/>
      <c r="K105"/>
      <c r="L105"/>
    </row>
    <row r="106" spans="3:12" x14ac:dyDescent="0.35">
      <c r="C106" s="9">
        <f t="array" ref="C106">_xlfn.UNIQUE(F106:F106)</f>
        <v>0</v>
      </c>
      <c r="D106" s="13" t="e">
        <f>IF(C_MEAS="Sessions",INDEX($G$26:G106,MATCH(C106,$F$26:$F106,0)),
IF(C_MEAS="Total_Item_Requests",INDEX($H$26:$H106,MATCH(C106,$F$26:$F106,0)),
IF(C_MEAS="Unique_Item_Requests",INDEX($I$26:$I106,MATCH(C106,$F$26:$F106,0)),
IF(C_MEAS="Total_Item_Investigations",INDEX($J$26:$J106,MATCH(C106,$F$26:$F106,0)),
IF(C_MEAS="Unique_Item_Investigations",INDEX($K$26:$K106,MATCH(C106,$F$26:$F106,0)),
IF(C_MEAS="User",INDEX($L$26:$L106,MATCH(C106,$F$26:$F106,0))
))))))</f>
        <v>#N/A</v>
      </c>
      <c r="F106"/>
      <c r="G106"/>
      <c r="H106"/>
      <c r="I106"/>
      <c r="J106"/>
      <c r="K106"/>
      <c r="L106"/>
    </row>
    <row r="107" spans="3:12" x14ac:dyDescent="0.35">
      <c r="C107" s="9">
        <f t="array" ref="C107">_xlfn.UNIQUE(F107:F107)</f>
        <v>0</v>
      </c>
      <c r="D107" s="13" t="e">
        <f>IF(C_MEAS="Sessions",INDEX($G$26:G107,MATCH(C107,$F$26:$F107,0)),
IF(C_MEAS="Total_Item_Requests",INDEX($H$26:$H107,MATCH(C107,$F$26:$F107,0)),
IF(C_MEAS="Unique_Item_Requests",INDEX($I$26:$I107,MATCH(C107,$F$26:$F107,0)),
IF(C_MEAS="Total_Item_Investigations",INDEX($J$26:$J107,MATCH(C107,$F$26:$F107,0)),
IF(C_MEAS="Unique_Item_Investigations",INDEX($K$26:$K107,MATCH(C107,$F$26:$F107,0)),
IF(C_MEAS="User",INDEX($L$26:$L107,MATCH(C107,$F$26:$F107,0))
))))))</f>
        <v>#N/A</v>
      </c>
      <c r="F107"/>
      <c r="G107"/>
      <c r="H107"/>
      <c r="I107"/>
      <c r="J107"/>
      <c r="K107"/>
      <c r="L107"/>
    </row>
    <row r="108" spans="3:12" x14ac:dyDescent="0.35">
      <c r="C108" s="9">
        <f t="array" ref="C108">_xlfn.UNIQUE(F108:F108)</f>
        <v>0</v>
      </c>
      <c r="D108" s="13" t="e">
        <f>IF(C_MEAS="Sessions",INDEX($G$26:G108,MATCH(C108,$F$26:$F108,0)),
IF(C_MEAS="Total_Item_Requests",INDEX($H$26:$H108,MATCH(C108,$F$26:$F108,0)),
IF(C_MEAS="Unique_Item_Requests",INDEX($I$26:$I108,MATCH(C108,$F$26:$F108,0)),
IF(C_MEAS="Total_Item_Investigations",INDEX($J$26:$J108,MATCH(C108,$F$26:$F108,0)),
IF(C_MEAS="Unique_Item_Investigations",INDEX($K$26:$K108,MATCH(C108,$F$26:$F108,0)),
IF(C_MEAS="User",INDEX($L$26:$L108,MATCH(C108,$F$26:$F108,0))
))))))</f>
        <v>#N/A</v>
      </c>
      <c r="F108"/>
      <c r="G108"/>
      <c r="H108"/>
      <c r="I108"/>
      <c r="J108"/>
      <c r="K108"/>
      <c r="L108"/>
    </row>
    <row r="109" spans="3:12" x14ac:dyDescent="0.35">
      <c r="C109" s="9">
        <f t="array" ref="C109">_xlfn.UNIQUE(F109:F109)</f>
        <v>0</v>
      </c>
      <c r="D109" s="13" t="e">
        <f>IF(C_MEAS="Sessions",INDEX($G$26:G109,MATCH(C109,$F$26:$F109,0)),
IF(C_MEAS="Total_Item_Requests",INDEX($H$26:$H109,MATCH(C109,$F$26:$F109,0)),
IF(C_MEAS="Unique_Item_Requests",INDEX($I$26:$I109,MATCH(C109,$F$26:$F109,0)),
IF(C_MEAS="Total_Item_Investigations",INDEX($J$26:$J109,MATCH(C109,$F$26:$F109,0)),
IF(C_MEAS="Unique_Item_Investigations",INDEX($K$26:$K109,MATCH(C109,$F$26:$F109,0)),
IF(C_MEAS="User",INDEX($L$26:$L109,MATCH(C109,$F$26:$F109,0))
))))))</f>
        <v>#N/A</v>
      </c>
      <c r="F109"/>
      <c r="G109"/>
      <c r="H109"/>
      <c r="I109"/>
      <c r="J109"/>
      <c r="K109"/>
      <c r="L109"/>
    </row>
    <row r="110" spans="3:12" x14ac:dyDescent="0.35">
      <c r="C110" s="9">
        <f t="array" ref="C110">_xlfn.UNIQUE(F110:F110)</f>
        <v>0</v>
      </c>
      <c r="D110" s="13" t="e">
        <f>IF(C_MEAS="Sessions",INDEX($G$26:G110,MATCH(C110,$F$26:$F110,0)),
IF(C_MEAS="Total_Item_Requests",INDEX($H$26:$H110,MATCH(C110,$F$26:$F110,0)),
IF(C_MEAS="Unique_Item_Requests",INDEX($I$26:$I110,MATCH(C110,$F$26:$F110,0)),
IF(C_MEAS="Total_Item_Investigations",INDEX($J$26:$J110,MATCH(C110,$F$26:$F110,0)),
IF(C_MEAS="Unique_Item_Investigations",INDEX($K$26:$K110,MATCH(C110,$F$26:$F110,0)),
IF(C_MEAS="User",INDEX($L$26:$L110,MATCH(C110,$F$26:$F110,0))
))))))</f>
        <v>#N/A</v>
      </c>
      <c r="F110"/>
      <c r="G110"/>
      <c r="H110"/>
      <c r="I110"/>
      <c r="J110"/>
      <c r="K110"/>
      <c r="L110"/>
    </row>
    <row r="111" spans="3:12" x14ac:dyDescent="0.35">
      <c r="C111" s="9">
        <f t="array" ref="C111">_xlfn.UNIQUE(F111:F111)</f>
        <v>0</v>
      </c>
      <c r="D111" s="13" t="e">
        <f>IF(C_MEAS="Sessions",INDEX($G$26:G111,MATCH(C111,$F$26:$F111,0)),
IF(C_MEAS="Total_Item_Requests",INDEX($H$26:$H111,MATCH(C111,$F$26:$F111,0)),
IF(C_MEAS="Unique_Item_Requests",INDEX($I$26:$I111,MATCH(C111,$F$26:$F111,0)),
IF(C_MEAS="Total_Item_Investigations",INDEX($J$26:$J111,MATCH(C111,$F$26:$F111,0)),
IF(C_MEAS="Unique_Item_Investigations",INDEX($K$26:$K111,MATCH(C111,$F$26:$F111,0)),
IF(C_MEAS="User",INDEX($L$26:$L111,MATCH(C111,$F$26:$F111,0))
))))))</f>
        <v>#N/A</v>
      </c>
      <c r="F111"/>
      <c r="G111"/>
      <c r="H111"/>
      <c r="I111"/>
      <c r="J111"/>
      <c r="K111"/>
      <c r="L111"/>
    </row>
    <row r="112" spans="3:12" x14ac:dyDescent="0.35">
      <c r="C112" s="9">
        <f t="array" ref="C112">_xlfn.UNIQUE(F112:F112)</f>
        <v>0</v>
      </c>
      <c r="D112" s="13" t="e">
        <f>IF(C_MEAS="Sessions",INDEX($G$26:G112,MATCH(C112,$F$26:$F112,0)),
IF(C_MEAS="Total_Item_Requests",INDEX($H$26:$H112,MATCH(C112,$F$26:$F112,0)),
IF(C_MEAS="Unique_Item_Requests",INDEX($I$26:$I112,MATCH(C112,$F$26:$F112,0)),
IF(C_MEAS="Total_Item_Investigations",INDEX($J$26:$J112,MATCH(C112,$F$26:$F112,0)),
IF(C_MEAS="Unique_Item_Investigations",INDEX($K$26:$K112,MATCH(C112,$F$26:$F112,0)),
IF(C_MEAS="User",INDEX($L$26:$L112,MATCH(C112,$F$26:$F112,0))
))))))</f>
        <v>#N/A</v>
      </c>
      <c r="F112"/>
      <c r="G112"/>
      <c r="H112"/>
      <c r="I112"/>
      <c r="J112"/>
      <c r="K112"/>
      <c r="L112"/>
    </row>
    <row r="113" spans="3:12" x14ac:dyDescent="0.35">
      <c r="C113" s="9">
        <f t="array" ref="C113">_xlfn.UNIQUE(F113:F113)</f>
        <v>0</v>
      </c>
      <c r="D113" s="13" t="e">
        <f>IF(C_MEAS="Sessions",INDEX($G$26:G113,MATCH(C113,$F$26:$F113,0)),
IF(C_MEAS="Total_Item_Requests",INDEX($H$26:$H113,MATCH(C113,$F$26:$F113,0)),
IF(C_MEAS="Unique_Item_Requests",INDEX($I$26:$I113,MATCH(C113,$F$26:$F113,0)),
IF(C_MEAS="Total_Item_Investigations",INDEX($J$26:$J113,MATCH(C113,$F$26:$F113,0)),
IF(C_MEAS="Unique_Item_Investigations",INDEX($K$26:$K113,MATCH(C113,$F$26:$F113,0)),
IF(C_MEAS="User",INDEX($L$26:$L113,MATCH(C113,$F$26:$F113,0))
))))))</f>
        <v>#N/A</v>
      </c>
      <c r="F113"/>
      <c r="G113"/>
      <c r="H113"/>
      <c r="I113"/>
      <c r="J113"/>
      <c r="K113"/>
      <c r="L113"/>
    </row>
    <row r="114" spans="3:12" x14ac:dyDescent="0.35">
      <c r="C114" s="9">
        <f t="array" ref="C114">_xlfn.UNIQUE(F114:F114)</f>
        <v>0</v>
      </c>
      <c r="D114" s="13" t="e">
        <f>IF(C_MEAS="Sessions",INDEX($G$26:G114,MATCH(C114,$F$26:$F114,0)),
IF(C_MEAS="Total_Item_Requests",INDEX($H$26:$H114,MATCH(C114,$F$26:$F114,0)),
IF(C_MEAS="Unique_Item_Requests",INDEX($I$26:$I114,MATCH(C114,$F$26:$F114,0)),
IF(C_MEAS="Total_Item_Investigations",INDEX($J$26:$J114,MATCH(C114,$F$26:$F114,0)),
IF(C_MEAS="Unique_Item_Investigations",INDEX($K$26:$K114,MATCH(C114,$F$26:$F114,0)),
IF(C_MEAS="User",INDEX($L$26:$L114,MATCH(C114,$F$26:$F114,0))
))))))</f>
        <v>#N/A</v>
      </c>
      <c r="F114"/>
      <c r="G114"/>
      <c r="H114"/>
      <c r="I114"/>
      <c r="J114"/>
      <c r="K114"/>
      <c r="L114"/>
    </row>
    <row r="115" spans="3:12" x14ac:dyDescent="0.35">
      <c r="C115" s="9">
        <f t="array" ref="C115">_xlfn.UNIQUE(F115:F115)</f>
        <v>0</v>
      </c>
      <c r="D115" s="13" t="e">
        <f>IF(C_MEAS="Sessions",INDEX($G$26:G115,MATCH(C115,$F$26:$F115,0)),
IF(C_MEAS="Total_Item_Requests",INDEX($H$26:$H115,MATCH(C115,$F$26:$F115,0)),
IF(C_MEAS="Unique_Item_Requests",INDEX($I$26:$I115,MATCH(C115,$F$26:$F115,0)),
IF(C_MEAS="Total_Item_Investigations",INDEX($J$26:$J115,MATCH(C115,$F$26:$F115,0)),
IF(C_MEAS="Unique_Item_Investigations",INDEX($K$26:$K115,MATCH(C115,$F$26:$F115,0)),
IF(C_MEAS="User",INDEX($L$26:$L115,MATCH(C115,$F$26:$F115,0))
))))))</f>
        <v>#N/A</v>
      </c>
      <c r="F115"/>
      <c r="G115"/>
      <c r="H115"/>
      <c r="I115"/>
      <c r="J115"/>
      <c r="K115"/>
      <c r="L115"/>
    </row>
    <row r="116" spans="3:12" x14ac:dyDescent="0.35">
      <c r="C116" s="9">
        <f t="array" ref="C116">_xlfn.UNIQUE(F116:F116)</f>
        <v>0</v>
      </c>
      <c r="D116" s="13" t="e">
        <f>IF(C_MEAS="Sessions",INDEX($G$26:G116,MATCH(C116,$F$26:$F116,0)),
IF(C_MEAS="Total_Item_Requests",INDEX($H$26:$H116,MATCH(C116,$F$26:$F116,0)),
IF(C_MEAS="Unique_Item_Requests",INDEX($I$26:$I116,MATCH(C116,$F$26:$F116,0)),
IF(C_MEAS="Total_Item_Investigations",INDEX($J$26:$J116,MATCH(C116,$F$26:$F116,0)),
IF(C_MEAS="Unique_Item_Investigations",INDEX($K$26:$K116,MATCH(C116,$F$26:$F116,0)),
IF(C_MEAS="User",INDEX($L$26:$L116,MATCH(C116,$F$26:$F116,0))
))))))</f>
        <v>#N/A</v>
      </c>
      <c r="F116"/>
      <c r="G116"/>
      <c r="H116"/>
      <c r="I116"/>
      <c r="J116"/>
      <c r="K116"/>
      <c r="L116"/>
    </row>
    <row r="117" spans="3:12" x14ac:dyDescent="0.35">
      <c r="C117" s="9">
        <f t="array" ref="C117">_xlfn.UNIQUE(F117:F117)</f>
        <v>0</v>
      </c>
      <c r="D117" s="13" t="e">
        <f>IF(C_MEAS="Sessions",INDEX($G$26:G117,MATCH(C117,$F$26:$F117,0)),
IF(C_MEAS="Total_Item_Requests",INDEX($H$26:$H117,MATCH(C117,$F$26:$F117,0)),
IF(C_MEAS="Unique_Item_Requests",INDEX($I$26:$I117,MATCH(C117,$F$26:$F117,0)),
IF(C_MEAS="Total_Item_Investigations",INDEX($J$26:$J117,MATCH(C117,$F$26:$F117,0)),
IF(C_MEAS="Unique_Item_Investigations",INDEX($K$26:$K117,MATCH(C117,$F$26:$F117,0)),
IF(C_MEAS="User",INDEX($L$26:$L117,MATCH(C117,$F$26:$F117,0))
))))))</f>
        <v>#N/A</v>
      </c>
      <c r="F117"/>
      <c r="G117"/>
      <c r="H117"/>
      <c r="I117"/>
      <c r="J117"/>
      <c r="K117"/>
      <c r="L117"/>
    </row>
    <row r="118" spans="3:12" x14ac:dyDescent="0.35">
      <c r="C118" s="9">
        <f t="array" ref="C118">_xlfn.UNIQUE(F118:F118)</f>
        <v>0</v>
      </c>
      <c r="D118" s="13" t="e">
        <f>IF(C_MEAS="Sessions",INDEX($G$26:G118,MATCH(C118,$F$26:$F118,0)),
IF(C_MEAS="Total_Item_Requests",INDEX($H$26:$H118,MATCH(C118,$F$26:$F118,0)),
IF(C_MEAS="Unique_Item_Requests",INDEX($I$26:$I118,MATCH(C118,$F$26:$F118,0)),
IF(C_MEAS="Total_Item_Investigations",INDEX($J$26:$J118,MATCH(C118,$F$26:$F118,0)),
IF(C_MEAS="Unique_Item_Investigations",INDEX($K$26:$K118,MATCH(C118,$F$26:$F118,0)),
IF(C_MEAS="User",INDEX($L$26:$L118,MATCH(C118,$F$26:$F118,0))
))))))</f>
        <v>#N/A</v>
      </c>
      <c r="F118"/>
      <c r="G118"/>
      <c r="H118"/>
      <c r="I118"/>
      <c r="J118"/>
      <c r="K118"/>
      <c r="L118"/>
    </row>
    <row r="119" spans="3:12" x14ac:dyDescent="0.35">
      <c r="C119" s="9">
        <f t="array" ref="C119">_xlfn.UNIQUE(F119:F119)</f>
        <v>0</v>
      </c>
      <c r="D119" s="13" t="e">
        <f>IF(C_MEAS="Sessions",INDEX($G$26:G119,MATCH(C119,$F$26:$F119,0)),
IF(C_MEAS="Total_Item_Requests",INDEX($H$26:$H119,MATCH(C119,$F$26:$F119,0)),
IF(C_MEAS="Unique_Item_Requests",INDEX($I$26:$I119,MATCH(C119,$F$26:$F119,0)),
IF(C_MEAS="Total_Item_Investigations",INDEX($J$26:$J119,MATCH(C119,$F$26:$F119,0)),
IF(C_MEAS="Unique_Item_Investigations",INDEX($K$26:$K119,MATCH(C119,$F$26:$F119,0)),
IF(C_MEAS="User",INDEX($L$26:$L119,MATCH(C119,$F$26:$F119,0))
))))))</f>
        <v>#N/A</v>
      </c>
      <c r="F119"/>
      <c r="G119"/>
      <c r="H119"/>
      <c r="I119"/>
      <c r="J119"/>
      <c r="K119"/>
      <c r="L119"/>
    </row>
    <row r="120" spans="3:12" x14ac:dyDescent="0.35">
      <c r="C120" s="9">
        <f t="array" ref="C120">_xlfn.UNIQUE(F120:F120)</f>
        <v>0</v>
      </c>
      <c r="D120" s="13" t="e">
        <f>IF(C_MEAS="Sessions",INDEX($G$26:G120,MATCH(C120,$F$26:$F120,0)),
IF(C_MEAS="Total_Item_Requests",INDEX($H$26:$H120,MATCH(C120,$F$26:$F120,0)),
IF(C_MEAS="Unique_Item_Requests",INDEX($I$26:$I120,MATCH(C120,$F$26:$F120,0)),
IF(C_MEAS="Total_Item_Investigations",INDEX($J$26:$J120,MATCH(C120,$F$26:$F120,0)),
IF(C_MEAS="Unique_Item_Investigations",INDEX($K$26:$K120,MATCH(C120,$F$26:$F120,0)),
IF(C_MEAS="User",INDEX($L$26:$L120,MATCH(C120,$F$26:$F120,0))
))))))</f>
        <v>#N/A</v>
      </c>
      <c r="F120"/>
      <c r="G120"/>
      <c r="H120"/>
      <c r="I120"/>
      <c r="J120"/>
      <c r="K120"/>
      <c r="L120"/>
    </row>
    <row r="121" spans="3:12" x14ac:dyDescent="0.35">
      <c r="C121" s="9">
        <f t="array" ref="C121">_xlfn.UNIQUE(F121:F121)</f>
        <v>0</v>
      </c>
      <c r="D121" s="13" t="e">
        <f>IF(C_MEAS="Sessions",INDEX($G$26:G121,MATCH(C121,$F$26:$F121,0)),
IF(C_MEAS="Total_Item_Requests",INDEX($H$26:$H121,MATCH(C121,$F$26:$F121,0)),
IF(C_MEAS="Unique_Item_Requests",INDEX($I$26:$I121,MATCH(C121,$F$26:$F121,0)),
IF(C_MEAS="Total_Item_Investigations",INDEX($J$26:$J121,MATCH(C121,$F$26:$F121,0)),
IF(C_MEAS="Unique_Item_Investigations",INDEX($K$26:$K121,MATCH(C121,$F$26:$F121,0)),
IF(C_MEAS="User",INDEX($L$26:$L121,MATCH(C121,$F$26:$F121,0))
))))))</f>
        <v>#N/A</v>
      </c>
      <c r="F121"/>
      <c r="G121"/>
      <c r="H121"/>
      <c r="I121"/>
      <c r="J121"/>
      <c r="K121"/>
      <c r="L121"/>
    </row>
    <row r="122" spans="3:12" x14ac:dyDescent="0.35">
      <c r="C122" s="9">
        <f t="array" ref="C122">_xlfn.UNIQUE(F122:F122)</f>
        <v>0</v>
      </c>
      <c r="D122" s="13" t="e">
        <f>IF(C_MEAS="Sessions",INDEX($G$26:G122,MATCH(C122,$F$26:$F122,0)),
IF(C_MEAS="Total_Item_Requests",INDEX($H$26:$H122,MATCH(C122,$F$26:$F122,0)),
IF(C_MEAS="Unique_Item_Requests",INDEX($I$26:$I122,MATCH(C122,$F$26:$F122,0)),
IF(C_MEAS="Total_Item_Investigations",INDEX($J$26:$J122,MATCH(C122,$F$26:$F122,0)),
IF(C_MEAS="Unique_Item_Investigations",INDEX($K$26:$K122,MATCH(C122,$F$26:$F122,0)),
IF(C_MEAS="User",INDEX($L$26:$L122,MATCH(C122,$F$26:$F122,0))
))))))</f>
        <v>#N/A</v>
      </c>
      <c r="F122"/>
      <c r="G122"/>
      <c r="H122"/>
      <c r="I122"/>
      <c r="J122"/>
      <c r="K122"/>
      <c r="L122"/>
    </row>
    <row r="123" spans="3:12" x14ac:dyDescent="0.35">
      <c r="C123" s="9">
        <f t="array" ref="C123">_xlfn.UNIQUE(F123:F123)</f>
        <v>0</v>
      </c>
      <c r="D123" s="13" t="e">
        <f>IF(C_MEAS="Sessions",INDEX($G$26:G123,MATCH(C123,$F$26:$F123,0)),
IF(C_MEAS="Total_Item_Requests",INDEX($H$26:$H123,MATCH(C123,$F$26:$F123,0)),
IF(C_MEAS="Unique_Item_Requests",INDEX($I$26:$I123,MATCH(C123,$F$26:$F123,0)),
IF(C_MEAS="Total_Item_Investigations",INDEX($J$26:$J123,MATCH(C123,$F$26:$F123,0)),
IF(C_MEAS="Unique_Item_Investigations",INDEX($K$26:$K123,MATCH(C123,$F$26:$F123,0)),
IF(C_MEAS="User",INDEX($L$26:$L123,MATCH(C123,$F$26:$F123,0))
))))))</f>
        <v>#N/A</v>
      </c>
      <c r="F123"/>
      <c r="G123"/>
      <c r="H123"/>
      <c r="I123"/>
      <c r="J123"/>
      <c r="K123"/>
      <c r="L123"/>
    </row>
    <row r="124" spans="3:12" x14ac:dyDescent="0.35">
      <c r="C124" s="9">
        <f t="array" ref="C124">_xlfn.UNIQUE(F124:F124)</f>
        <v>0</v>
      </c>
      <c r="D124" s="13" t="e">
        <f>IF(C_MEAS="Sessions",INDEX($G$26:G124,MATCH(C124,$F$26:$F124,0)),
IF(C_MEAS="Total_Item_Requests",INDEX($H$26:$H124,MATCH(C124,$F$26:$F124,0)),
IF(C_MEAS="Unique_Item_Requests",INDEX($I$26:$I124,MATCH(C124,$F$26:$F124,0)),
IF(C_MEAS="Total_Item_Investigations",INDEX($J$26:$J124,MATCH(C124,$F$26:$F124,0)),
IF(C_MEAS="Unique_Item_Investigations",INDEX($K$26:$K124,MATCH(C124,$F$26:$F124,0)),
IF(C_MEAS="User",INDEX($L$26:$L124,MATCH(C124,$F$26:$F124,0))
))))))</f>
        <v>#N/A</v>
      </c>
      <c r="F124"/>
      <c r="G124"/>
      <c r="H124"/>
      <c r="I124"/>
      <c r="J124"/>
      <c r="K124"/>
      <c r="L124"/>
    </row>
    <row r="125" spans="3:12" x14ac:dyDescent="0.35">
      <c r="C125" s="9">
        <f t="array" ref="C125">_xlfn.UNIQUE(F125:F125)</f>
        <v>0</v>
      </c>
      <c r="D125" s="13" t="e">
        <f>IF(C_MEAS="Sessions",INDEX($G$26:G125,MATCH(C125,$F$26:$F125,0)),
IF(C_MEAS="Total_Item_Requests",INDEX($H$26:$H125,MATCH(C125,$F$26:$F125,0)),
IF(C_MEAS="Unique_Item_Requests",INDEX($I$26:$I125,MATCH(C125,$F$26:$F125,0)),
IF(C_MEAS="Total_Item_Investigations",INDEX($J$26:$J125,MATCH(C125,$F$26:$F125,0)),
IF(C_MEAS="Unique_Item_Investigations",INDEX($K$26:$K125,MATCH(C125,$F$26:$F125,0)),
IF(C_MEAS="User",INDEX($L$26:$L125,MATCH(C125,$F$26:$F125,0))
))))))</f>
        <v>#N/A</v>
      </c>
      <c r="F125"/>
      <c r="G125"/>
      <c r="H125"/>
      <c r="I125"/>
      <c r="J125"/>
      <c r="K125"/>
      <c r="L125"/>
    </row>
    <row r="126" spans="3:12" x14ac:dyDescent="0.35">
      <c r="C126" s="9">
        <f t="array" ref="C126">_xlfn.UNIQUE(F126:F126)</f>
        <v>0</v>
      </c>
      <c r="D126" s="13" t="e">
        <f>IF(C_MEAS="Sessions",INDEX($G$26:G126,MATCH(C126,$F$26:$F126,0)),
IF(C_MEAS="Total_Item_Requests",INDEX($H$26:$H126,MATCH(C126,$F$26:$F126,0)),
IF(C_MEAS="Unique_Item_Requests",INDEX($I$26:$I126,MATCH(C126,$F$26:$F126,0)),
IF(C_MEAS="Total_Item_Investigations",INDEX($J$26:$J126,MATCH(C126,$F$26:$F126,0)),
IF(C_MEAS="Unique_Item_Investigations",INDEX($K$26:$K126,MATCH(C126,$F$26:$F126,0)),
IF(C_MEAS="User",INDEX($L$26:$L126,MATCH(C126,$F$26:$F126,0))
))))))</f>
        <v>#N/A</v>
      </c>
      <c r="F126"/>
      <c r="G126"/>
      <c r="H126"/>
      <c r="I126"/>
      <c r="J126"/>
      <c r="K126"/>
      <c r="L126"/>
    </row>
    <row r="127" spans="3:12" x14ac:dyDescent="0.35">
      <c r="C127" s="9">
        <f t="array" ref="C127">_xlfn.UNIQUE(F127:F127)</f>
        <v>0</v>
      </c>
      <c r="D127" s="13" t="e">
        <f>IF(C_MEAS="Sessions",INDEX($G$26:G127,MATCH(C127,$F$26:$F127,0)),
IF(C_MEAS="Total_Item_Requests",INDEX($H$26:$H127,MATCH(C127,$F$26:$F127,0)),
IF(C_MEAS="Unique_Item_Requests",INDEX($I$26:$I127,MATCH(C127,$F$26:$F127,0)),
IF(C_MEAS="Total_Item_Investigations",INDEX($J$26:$J127,MATCH(C127,$F$26:$F127,0)),
IF(C_MEAS="Unique_Item_Investigations",INDEX($K$26:$K127,MATCH(C127,$F$26:$F127,0)),
IF(C_MEAS="User",INDEX($L$26:$L127,MATCH(C127,$F$26:$F127,0))
))))))</f>
        <v>#N/A</v>
      </c>
      <c r="F127"/>
      <c r="G127"/>
      <c r="H127"/>
      <c r="I127"/>
      <c r="J127"/>
      <c r="K127"/>
      <c r="L127"/>
    </row>
    <row r="128" spans="3:12" x14ac:dyDescent="0.35">
      <c r="C128" s="9">
        <f t="array" ref="C128">_xlfn.UNIQUE(F128:F128)</f>
        <v>0</v>
      </c>
      <c r="D128" s="13" t="e">
        <f>IF(C_MEAS="Sessions",INDEX($G$26:G128,MATCH(C128,$F$26:$F128,0)),
IF(C_MEAS="Total_Item_Requests",INDEX($H$26:$H128,MATCH(C128,$F$26:$F128,0)),
IF(C_MEAS="Unique_Item_Requests",INDEX($I$26:$I128,MATCH(C128,$F$26:$F128,0)),
IF(C_MEAS="Total_Item_Investigations",INDEX($J$26:$J128,MATCH(C128,$F$26:$F128,0)),
IF(C_MEAS="Unique_Item_Investigations",INDEX($K$26:$K128,MATCH(C128,$F$26:$F128,0)),
IF(C_MEAS="User",INDEX($L$26:$L128,MATCH(C128,$F$26:$F128,0))
))))))</f>
        <v>#N/A</v>
      </c>
      <c r="F128"/>
      <c r="G128"/>
      <c r="H128"/>
      <c r="I128"/>
      <c r="J128"/>
      <c r="K128"/>
      <c r="L128"/>
    </row>
    <row r="129" spans="3:12" x14ac:dyDescent="0.35">
      <c r="C129" s="9">
        <f t="array" ref="C129">_xlfn.UNIQUE(F129:F129)</f>
        <v>0</v>
      </c>
      <c r="D129" s="13" t="e">
        <f>IF(C_MEAS="Sessions",INDEX($G$26:G129,MATCH(C129,$F$26:$F129,0)),
IF(C_MEAS="Total_Item_Requests",INDEX($H$26:$H129,MATCH(C129,$F$26:$F129,0)),
IF(C_MEAS="Unique_Item_Requests",INDEX($I$26:$I129,MATCH(C129,$F$26:$F129,0)),
IF(C_MEAS="Total_Item_Investigations",INDEX($J$26:$J129,MATCH(C129,$F$26:$F129,0)),
IF(C_MEAS="Unique_Item_Investigations",INDEX($K$26:$K129,MATCH(C129,$F$26:$F129,0)),
IF(C_MEAS="User",INDEX($L$26:$L129,MATCH(C129,$F$26:$F129,0))
))))))</f>
        <v>#N/A</v>
      </c>
      <c r="F129"/>
      <c r="G129"/>
      <c r="H129"/>
      <c r="I129"/>
      <c r="J129"/>
      <c r="K129"/>
      <c r="L129"/>
    </row>
    <row r="130" spans="3:12" x14ac:dyDescent="0.35">
      <c r="C130" s="9">
        <f t="array" ref="C130">_xlfn.UNIQUE(F130:F130)</f>
        <v>0</v>
      </c>
      <c r="D130" s="13" t="e">
        <f>IF(C_MEAS="Sessions",INDEX($G$26:G130,MATCH(C130,$F$26:$F130,0)),
IF(C_MEAS="Total_Item_Requests",INDEX($H$26:$H130,MATCH(C130,$F$26:$F130,0)),
IF(C_MEAS="Unique_Item_Requests",INDEX($I$26:$I130,MATCH(C130,$F$26:$F130,0)),
IF(C_MEAS="Total_Item_Investigations",INDEX($J$26:$J130,MATCH(C130,$F$26:$F130,0)),
IF(C_MEAS="Unique_Item_Investigations",INDEX($K$26:$K130,MATCH(C130,$F$26:$F130,0)),
IF(C_MEAS="User",INDEX($L$26:$L130,MATCH(C130,$F$26:$F130,0))
))))))</f>
        <v>#N/A</v>
      </c>
      <c r="F130"/>
      <c r="G130"/>
      <c r="H130"/>
      <c r="I130"/>
      <c r="J130"/>
      <c r="K130"/>
      <c r="L130"/>
    </row>
    <row r="131" spans="3:12" x14ac:dyDescent="0.35">
      <c r="C131" s="9">
        <f t="array" ref="C131">_xlfn.UNIQUE(F131:F131)</f>
        <v>0</v>
      </c>
      <c r="D131" s="13" t="e">
        <f>IF(C_MEAS="Sessions",INDEX($G$26:G131,MATCH(C131,$F$26:$F131,0)),
IF(C_MEAS="Total_Item_Requests",INDEX($H$26:$H131,MATCH(C131,$F$26:$F131,0)),
IF(C_MEAS="Unique_Item_Requests",INDEX($I$26:$I131,MATCH(C131,$F$26:$F131,0)),
IF(C_MEAS="Total_Item_Investigations",INDEX($J$26:$J131,MATCH(C131,$F$26:$F131,0)),
IF(C_MEAS="Unique_Item_Investigations",INDEX($K$26:$K131,MATCH(C131,$F$26:$F131,0)),
IF(C_MEAS="User",INDEX($L$26:$L131,MATCH(C131,$F$26:$F131,0))
))))))</f>
        <v>#N/A</v>
      </c>
      <c r="F131"/>
      <c r="G131"/>
      <c r="H131"/>
      <c r="I131"/>
      <c r="J131"/>
      <c r="K131"/>
      <c r="L131"/>
    </row>
    <row r="132" spans="3:12" x14ac:dyDescent="0.35">
      <c r="C132" s="9">
        <f t="array" ref="C132">_xlfn.UNIQUE(F132:F132)</f>
        <v>0</v>
      </c>
      <c r="D132" s="13" t="e">
        <f>IF(C_MEAS="Sessions",INDEX($G$26:G132,MATCH(C132,$F$26:$F132,0)),
IF(C_MEAS="Total_Item_Requests",INDEX($H$26:$H132,MATCH(C132,$F$26:$F132,0)),
IF(C_MEAS="Unique_Item_Requests",INDEX($I$26:$I132,MATCH(C132,$F$26:$F132,0)),
IF(C_MEAS="Total_Item_Investigations",INDEX($J$26:$J132,MATCH(C132,$F$26:$F132,0)),
IF(C_MEAS="Unique_Item_Investigations",INDEX($K$26:$K132,MATCH(C132,$F$26:$F132,0)),
IF(C_MEAS="User",INDEX($L$26:$L132,MATCH(C132,$F$26:$F132,0))
))))))</f>
        <v>#N/A</v>
      </c>
      <c r="F132"/>
      <c r="G132"/>
      <c r="H132"/>
      <c r="I132"/>
      <c r="J132"/>
      <c r="K132"/>
      <c r="L132"/>
    </row>
    <row r="133" spans="3:12" x14ac:dyDescent="0.35">
      <c r="C133" s="9">
        <f t="array" ref="C133">_xlfn.UNIQUE(F133:F133)</f>
        <v>0</v>
      </c>
      <c r="D133" s="13" t="e">
        <f>IF(C_MEAS="Sessions",INDEX($G$26:G133,MATCH(C133,$F$26:$F133,0)),
IF(C_MEAS="Total_Item_Requests",INDEX($H$26:$H133,MATCH(C133,$F$26:$F133,0)),
IF(C_MEAS="Unique_Item_Requests",INDEX($I$26:$I133,MATCH(C133,$F$26:$F133,0)),
IF(C_MEAS="Total_Item_Investigations",INDEX($J$26:$J133,MATCH(C133,$F$26:$F133,0)),
IF(C_MEAS="Unique_Item_Investigations",INDEX($K$26:$K133,MATCH(C133,$F$26:$F133,0)),
IF(C_MEAS="User",INDEX($L$26:$L133,MATCH(C133,$F$26:$F133,0))
))))))</f>
        <v>#N/A</v>
      </c>
      <c r="F133"/>
      <c r="G133"/>
      <c r="H133"/>
      <c r="I133"/>
      <c r="J133"/>
      <c r="K133"/>
      <c r="L133"/>
    </row>
    <row r="134" spans="3:12" x14ac:dyDescent="0.35">
      <c r="C134" s="9">
        <f t="array" ref="C134">_xlfn.UNIQUE(F134:F134)</f>
        <v>0</v>
      </c>
      <c r="D134" s="13" t="e">
        <f>IF(C_MEAS="Sessions",INDEX($G$26:G134,MATCH(C134,$F$26:$F134,0)),
IF(C_MEAS="Total_Item_Requests",INDEX($H$26:$H134,MATCH(C134,$F$26:$F134,0)),
IF(C_MEAS="Unique_Item_Requests",INDEX($I$26:$I134,MATCH(C134,$F$26:$F134,0)),
IF(C_MEAS="Total_Item_Investigations",INDEX($J$26:$J134,MATCH(C134,$F$26:$F134,0)),
IF(C_MEAS="Unique_Item_Investigations",INDEX($K$26:$K134,MATCH(C134,$F$26:$F134,0)),
IF(C_MEAS="User",INDEX($L$26:$L134,MATCH(C134,$F$26:$F134,0))
))))))</f>
        <v>#N/A</v>
      </c>
      <c r="F134"/>
      <c r="G134"/>
      <c r="H134"/>
      <c r="I134"/>
      <c r="J134"/>
      <c r="K134"/>
      <c r="L134"/>
    </row>
    <row r="135" spans="3:12" x14ac:dyDescent="0.35">
      <c r="C135" s="9">
        <f t="array" ref="C135">_xlfn.UNIQUE(F135:F135)</f>
        <v>0</v>
      </c>
      <c r="D135" s="13" t="e">
        <f>IF(C_MEAS="Sessions",INDEX($G$26:G135,MATCH(C135,$F$26:$F135,0)),
IF(C_MEAS="Total_Item_Requests",INDEX($H$26:$H135,MATCH(C135,$F$26:$F135,0)),
IF(C_MEAS="Unique_Item_Requests",INDEX($I$26:$I135,MATCH(C135,$F$26:$F135,0)),
IF(C_MEAS="Total_Item_Investigations",INDEX($J$26:$J135,MATCH(C135,$F$26:$F135,0)),
IF(C_MEAS="Unique_Item_Investigations",INDEX($K$26:$K135,MATCH(C135,$F$26:$F135,0)),
IF(C_MEAS="User",INDEX($L$26:$L135,MATCH(C135,$F$26:$F135,0))
))))))</f>
        <v>#N/A</v>
      </c>
      <c r="F135"/>
      <c r="G135"/>
      <c r="H135"/>
      <c r="I135"/>
      <c r="J135"/>
      <c r="K135"/>
      <c r="L135"/>
    </row>
    <row r="136" spans="3:12" x14ac:dyDescent="0.35">
      <c r="C136" s="9">
        <f t="array" ref="C136">_xlfn.UNIQUE(F136:F136)</f>
        <v>0</v>
      </c>
      <c r="D136" s="13" t="e">
        <f>IF(C_MEAS="Sessions",INDEX($G$26:G136,MATCH(C136,$F$26:$F136,0)),
IF(C_MEAS="Total_Item_Requests",INDEX($H$26:$H136,MATCH(C136,$F$26:$F136,0)),
IF(C_MEAS="Unique_Item_Requests",INDEX($I$26:$I136,MATCH(C136,$F$26:$F136,0)),
IF(C_MEAS="Total_Item_Investigations",INDEX($J$26:$J136,MATCH(C136,$F$26:$F136,0)),
IF(C_MEAS="Unique_Item_Investigations",INDEX($K$26:$K136,MATCH(C136,$F$26:$F136,0)),
IF(C_MEAS="User",INDEX($L$26:$L136,MATCH(C136,$F$26:$F136,0))
))))))</f>
        <v>#N/A</v>
      </c>
      <c r="F136"/>
      <c r="G136"/>
      <c r="H136"/>
      <c r="I136"/>
      <c r="J136"/>
      <c r="K136"/>
      <c r="L136"/>
    </row>
    <row r="137" spans="3:12" x14ac:dyDescent="0.35">
      <c r="C137" s="9">
        <f t="array" ref="C137">_xlfn.UNIQUE(F137:F137)</f>
        <v>0</v>
      </c>
      <c r="D137" s="13" t="e">
        <f>IF(C_MEAS="Sessions",INDEX($G$26:G137,MATCH(C137,$F$26:$F137,0)),
IF(C_MEAS="Total_Item_Requests",INDEX($H$26:$H137,MATCH(C137,$F$26:$F137,0)),
IF(C_MEAS="Unique_Item_Requests",INDEX($I$26:$I137,MATCH(C137,$F$26:$F137,0)),
IF(C_MEAS="Total_Item_Investigations",INDEX($J$26:$J137,MATCH(C137,$F$26:$F137,0)),
IF(C_MEAS="Unique_Item_Investigations",INDEX($K$26:$K137,MATCH(C137,$F$26:$F137,0)),
IF(C_MEAS="User",INDEX($L$26:$L137,MATCH(C137,$F$26:$F137,0))
))))))</f>
        <v>#N/A</v>
      </c>
      <c r="F137"/>
      <c r="G137"/>
      <c r="H137"/>
      <c r="I137"/>
      <c r="J137"/>
      <c r="K137"/>
      <c r="L137"/>
    </row>
    <row r="138" spans="3:12" x14ac:dyDescent="0.35">
      <c r="C138" s="9">
        <f t="array" ref="C138">_xlfn.UNIQUE(F138:F138)</f>
        <v>0</v>
      </c>
      <c r="D138" s="13" t="e">
        <f>IF(C_MEAS="Sessions",INDEX($G$26:G138,MATCH(C138,$F$26:$F138,0)),
IF(C_MEAS="Total_Item_Requests",INDEX($H$26:$H138,MATCH(C138,$F$26:$F138,0)),
IF(C_MEAS="Unique_Item_Requests",INDEX($I$26:$I138,MATCH(C138,$F$26:$F138,0)),
IF(C_MEAS="Total_Item_Investigations",INDEX($J$26:$J138,MATCH(C138,$F$26:$F138,0)),
IF(C_MEAS="Unique_Item_Investigations",INDEX($K$26:$K138,MATCH(C138,$F$26:$F138,0)),
IF(C_MEAS="User",INDEX($L$26:$L138,MATCH(C138,$F$26:$F138,0))
))))))</f>
        <v>#N/A</v>
      </c>
      <c r="F138"/>
      <c r="G138"/>
      <c r="H138"/>
      <c r="I138"/>
      <c r="J138"/>
      <c r="K138"/>
      <c r="L138"/>
    </row>
    <row r="139" spans="3:12" x14ac:dyDescent="0.35">
      <c r="C139" s="9">
        <f t="array" ref="C139">_xlfn.UNIQUE(F139:F139)</f>
        <v>0</v>
      </c>
      <c r="D139" s="13" t="e">
        <f>IF(C_MEAS="Sessions",INDEX($G$26:G139,MATCH(C139,$F$26:$F139,0)),
IF(C_MEAS="Total_Item_Requests",INDEX($H$26:$H139,MATCH(C139,$F$26:$F139,0)),
IF(C_MEAS="Unique_Item_Requests",INDEX($I$26:$I139,MATCH(C139,$F$26:$F139,0)),
IF(C_MEAS="Total_Item_Investigations",INDEX($J$26:$J139,MATCH(C139,$F$26:$F139,0)),
IF(C_MEAS="Unique_Item_Investigations",INDEX($K$26:$K139,MATCH(C139,$F$26:$F139,0)),
IF(C_MEAS="User",INDEX($L$26:$L139,MATCH(C139,$F$26:$F139,0))
))))))</f>
        <v>#N/A</v>
      </c>
      <c r="F139"/>
      <c r="G139"/>
      <c r="H139"/>
      <c r="I139"/>
      <c r="J139"/>
      <c r="K139"/>
      <c r="L139"/>
    </row>
    <row r="140" spans="3:12" x14ac:dyDescent="0.35">
      <c r="C140" s="9">
        <f t="array" ref="C140">_xlfn.UNIQUE(F140:F140)</f>
        <v>0</v>
      </c>
      <c r="D140" s="13" t="e">
        <f>IF(C_MEAS="Sessions",INDEX($G$26:G140,MATCH(C140,$F$26:$F140,0)),
IF(C_MEAS="Total_Item_Requests",INDEX($H$26:$H140,MATCH(C140,$F$26:$F140,0)),
IF(C_MEAS="Unique_Item_Requests",INDEX($I$26:$I140,MATCH(C140,$F$26:$F140,0)),
IF(C_MEAS="Total_Item_Investigations",INDEX($J$26:$J140,MATCH(C140,$F$26:$F140,0)),
IF(C_MEAS="Unique_Item_Investigations",INDEX($K$26:$K140,MATCH(C140,$F$26:$F140,0)),
IF(C_MEAS="User",INDEX($L$26:$L140,MATCH(C140,$F$26:$F140,0))
))))))</f>
        <v>#N/A</v>
      </c>
      <c r="F140"/>
      <c r="G140"/>
      <c r="H140"/>
      <c r="I140"/>
      <c r="J140"/>
      <c r="K140"/>
      <c r="L140"/>
    </row>
    <row r="141" spans="3:12" x14ac:dyDescent="0.35">
      <c r="C141" s="9">
        <f t="array" ref="C141">_xlfn.UNIQUE(F141:F141)</f>
        <v>0</v>
      </c>
      <c r="D141" s="13" t="e">
        <f>IF(C_MEAS="Sessions",INDEX($G$26:G141,MATCH(C141,$F$26:$F141,0)),
IF(C_MEAS="Total_Item_Requests",INDEX($H$26:$H141,MATCH(C141,$F$26:$F141,0)),
IF(C_MEAS="Unique_Item_Requests",INDEX($I$26:$I141,MATCH(C141,$F$26:$F141,0)),
IF(C_MEAS="Total_Item_Investigations",INDEX($J$26:$J141,MATCH(C141,$F$26:$F141,0)),
IF(C_MEAS="Unique_Item_Investigations",INDEX($K$26:$K141,MATCH(C141,$F$26:$F141,0)),
IF(C_MEAS="User",INDEX($L$26:$L141,MATCH(C141,$F$26:$F141,0))
))))))</f>
        <v>#N/A</v>
      </c>
      <c r="F141"/>
      <c r="G141"/>
      <c r="H141"/>
      <c r="I141"/>
      <c r="J141"/>
      <c r="K141"/>
      <c r="L141"/>
    </row>
    <row r="142" spans="3:12" x14ac:dyDescent="0.35">
      <c r="C142" s="9">
        <f t="array" ref="C142">_xlfn.UNIQUE(F142:F142)</f>
        <v>0</v>
      </c>
      <c r="D142" s="13" t="e">
        <f>IF(C_MEAS="Sessions",INDEX($G$26:G142,MATCH(C142,$F$26:$F142,0)),
IF(C_MEAS="Total_Item_Requests",INDEX($H$26:$H142,MATCH(C142,$F$26:$F142,0)),
IF(C_MEAS="Unique_Item_Requests",INDEX($I$26:$I142,MATCH(C142,$F$26:$F142,0)),
IF(C_MEAS="Total_Item_Investigations",INDEX($J$26:$J142,MATCH(C142,$F$26:$F142,0)),
IF(C_MEAS="Unique_Item_Investigations",INDEX($K$26:$K142,MATCH(C142,$F$26:$F142,0)),
IF(C_MEAS="User",INDEX($L$26:$L142,MATCH(C142,$F$26:$F142,0))
))))))</f>
        <v>#N/A</v>
      </c>
      <c r="F142"/>
      <c r="G142"/>
      <c r="H142"/>
      <c r="I142"/>
      <c r="J142"/>
      <c r="K142"/>
      <c r="L142"/>
    </row>
    <row r="143" spans="3:12" x14ac:dyDescent="0.35">
      <c r="C143" s="9">
        <f t="array" ref="C143">_xlfn.UNIQUE(F143:F143)</f>
        <v>0</v>
      </c>
      <c r="D143" s="13" t="e">
        <f>IF(C_MEAS="Sessions",INDEX($G$26:G143,MATCH(C143,$F$26:$F143,0)),
IF(C_MEAS="Total_Item_Requests",INDEX($H$26:$H143,MATCH(C143,$F$26:$F143,0)),
IF(C_MEAS="Unique_Item_Requests",INDEX($I$26:$I143,MATCH(C143,$F$26:$F143,0)),
IF(C_MEAS="Total_Item_Investigations",INDEX($J$26:$J143,MATCH(C143,$F$26:$F143,0)),
IF(C_MEAS="Unique_Item_Investigations",INDEX($K$26:$K143,MATCH(C143,$F$26:$F143,0)),
IF(C_MEAS="User",INDEX($L$26:$L143,MATCH(C143,$F$26:$F143,0))
))))))</f>
        <v>#N/A</v>
      </c>
      <c r="F143"/>
      <c r="G143"/>
      <c r="H143"/>
      <c r="I143"/>
      <c r="J143"/>
      <c r="K143"/>
      <c r="L143"/>
    </row>
    <row r="144" spans="3:12" x14ac:dyDescent="0.35">
      <c r="C144" s="9">
        <f t="array" ref="C144">_xlfn.UNIQUE(F144:F144)</f>
        <v>0</v>
      </c>
      <c r="D144" s="13" t="e">
        <f>IF(C_MEAS="Sessions",INDEX($G$26:G144,MATCH(C144,$F$26:$F144,0)),
IF(C_MEAS="Total_Item_Requests",INDEX($H$26:$H144,MATCH(C144,$F$26:$F144,0)),
IF(C_MEAS="Unique_Item_Requests",INDEX($I$26:$I144,MATCH(C144,$F$26:$F144,0)),
IF(C_MEAS="Total_Item_Investigations",INDEX($J$26:$J144,MATCH(C144,$F$26:$F144,0)),
IF(C_MEAS="Unique_Item_Investigations",INDEX($K$26:$K144,MATCH(C144,$F$26:$F144,0)),
IF(C_MEAS="User",INDEX($L$26:$L144,MATCH(C144,$F$26:$F144,0))
))))))</f>
        <v>#N/A</v>
      </c>
      <c r="F144"/>
      <c r="G144"/>
      <c r="H144"/>
      <c r="I144"/>
      <c r="J144"/>
      <c r="K144"/>
      <c r="L144"/>
    </row>
    <row r="145" spans="3:12" x14ac:dyDescent="0.35">
      <c r="C145" s="9">
        <f t="array" ref="C145">_xlfn.UNIQUE(F145:F145)</f>
        <v>0</v>
      </c>
      <c r="D145" s="13" t="e">
        <f>IF(C_MEAS="Sessions",INDEX($G$26:G145,MATCH(C145,$F$26:$F145,0)),
IF(C_MEAS="Total_Item_Requests",INDEX($H$26:$H145,MATCH(C145,$F$26:$F145,0)),
IF(C_MEAS="Unique_Item_Requests",INDEX($I$26:$I145,MATCH(C145,$F$26:$F145,0)),
IF(C_MEAS="Total_Item_Investigations",INDEX($J$26:$J145,MATCH(C145,$F$26:$F145,0)),
IF(C_MEAS="Unique_Item_Investigations",INDEX($K$26:$K145,MATCH(C145,$F$26:$F145,0)),
IF(C_MEAS="User",INDEX($L$26:$L145,MATCH(C145,$F$26:$F145,0))
))))))</f>
        <v>#N/A</v>
      </c>
      <c r="F145"/>
      <c r="G145"/>
      <c r="H145"/>
      <c r="I145"/>
      <c r="J145"/>
      <c r="K145"/>
      <c r="L145"/>
    </row>
    <row r="146" spans="3:12" x14ac:dyDescent="0.35">
      <c r="C146" s="9">
        <f t="array" ref="C146">_xlfn.UNIQUE(F146:F146)</f>
        <v>0</v>
      </c>
      <c r="D146" s="13" t="e">
        <f>IF(C_MEAS="Sessions",INDEX($G$26:G146,MATCH(C146,$F$26:$F146,0)),
IF(C_MEAS="Total_Item_Requests",INDEX($H$26:$H146,MATCH(C146,$F$26:$F146,0)),
IF(C_MEAS="Unique_Item_Requests",INDEX($I$26:$I146,MATCH(C146,$F$26:$F146,0)),
IF(C_MEAS="Total_Item_Investigations",INDEX($J$26:$J146,MATCH(C146,$F$26:$F146,0)),
IF(C_MEAS="Unique_Item_Investigations",INDEX($K$26:$K146,MATCH(C146,$F$26:$F146,0)),
IF(C_MEAS="User",INDEX($L$26:$L146,MATCH(C146,$F$26:$F146,0))
))))))</f>
        <v>#N/A</v>
      </c>
      <c r="F146"/>
      <c r="G146"/>
      <c r="H146"/>
      <c r="I146"/>
      <c r="J146"/>
      <c r="K146"/>
      <c r="L146"/>
    </row>
    <row r="147" spans="3:12" x14ac:dyDescent="0.35">
      <c r="C147" s="9">
        <f t="array" ref="C147">_xlfn.UNIQUE(F147:F147)</f>
        <v>0</v>
      </c>
      <c r="D147" s="13" t="e">
        <f>IF(C_MEAS="Sessions",INDEX($G$26:G147,MATCH(C147,$F$26:$F147,0)),
IF(C_MEAS="Total_Item_Requests",INDEX($H$26:$H147,MATCH(C147,$F$26:$F147,0)),
IF(C_MEAS="Unique_Item_Requests",INDEX($I$26:$I147,MATCH(C147,$F$26:$F147,0)),
IF(C_MEAS="Total_Item_Investigations",INDEX($J$26:$J147,MATCH(C147,$F$26:$F147,0)),
IF(C_MEAS="Unique_Item_Investigations",INDEX($K$26:$K147,MATCH(C147,$F$26:$F147,0)),
IF(C_MEAS="User",INDEX($L$26:$L147,MATCH(C147,$F$26:$F147,0))
))))))</f>
        <v>#N/A</v>
      </c>
      <c r="F147"/>
      <c r="G147"/>
      <c r="H147"/>
      <c r="I147"/>
      <c r="J147"/>
      <c r="K147"/>
      <c r="L147"/>
    </row>
    <row r="148" spans="3:12" x14ac:dyDescent="0.35">
      <c r="C148" s="9">
        <f t="array" ref="C148">_xlfn.UNIQUE(F148:F148)</f>
        <v>0</v>
      </c>
      <c r="D148" s="13" t="e">
        <f>IF(C_MEAS="Sessions",INDEX($G$26:G148,MATCH(C148,$F$26:$F148,0)),
IF(C_MEAS="Total_Item_Requests",INDEX($H$26:$H148,MATCH(C148,$F$26:$F148,0)),
IF(C_MEAS="Unique_Item_Requests",INDEX($I$26:$I148,MATCH(C148,$F$26:$F148,0)),
IF(C_MEAS="Total_Item_Investigations",INDEX($J$26:$J148,MATCH(C148,$F$26:$F148,0)),
IF(C_MEAS="Unique_Item_Investigations",INDEX($K$26:$K148,MATCH(C148,$F$26:$F148,0)),
IF(C_MEAS="User",INDEX($L$26:$L148,MATCH(C148,$F$26:$F148,0))
))))))</f>
        <v>#N/A</v>
      </c>
      <c r="F148"/>
      <c r="G148"/>
      <c r="H148"/>
      <c r="I148"/>
      <c r="J148"/>
      <c r="K148"/>
      <c r="L148"/>
    </row>
    <row r="149" spans="3:12" x14ac:dyDescent="0.35">
      <c r="C149" s="9">
        <f t="array" ref="C149">_xlfn.UNIQUE(F149:F149)</f>
        <v>0</v>
      </c>
      <c r="D149" s="13" t="e">
        <f>IF(C_MEAS="Sessions",INDEX($G$26:G149,MATCH(C149,$F$26:$F149,0)),
IF(C_MEAS="Total_Item_Requests",INDEX($H$26:$H149,MATCH(C149,$F$26:$F149,0)),
IF(C_MEAS="Unique_Item_Requests",INDEX($I$26:$I149,MATCH(C149,$F$26:$F149,0)),
IF(C_MEAS="Total_Item_Investigations",INDEX($J$26:$J149,MATCH(C149,$F$26:$F149,0)),
IF(C_MEAS="Unique_Item_Investigations",INDEX($K$26:$K149,MATCH(C149,$F$26:$F149,0)),
IF(C_MEAS="User",INDEX($L$26:$L149,MATCH(C149,$F$26:$F149,0))
))))))</f>
        <v>#N/A</v>
      </c>
      <c r="F149"/>
      <c r="G149"/>
      <c r="H149"/>
      <c r="I149"/>
      <c r="J149"/>
      <c r="K149"/>
      <c r="L149"/>
    </row>
    <row r="150" spans="3:12" x14ac:dyDescent="0.35">
      <c r="C150" s="9">
        <f t="array" ref="C150">_xlfn.UNIQUE(F150:F150)</f>
        <v>0</v>
      </c>
      <c r="D150" s="13" t="e">
        <f>IF(C_MEAS="Sessions",INDEX($G$26:G150,MATCH(C150,$F$26:$F150,0)),
IF(C_MEAS="Total_Item_Requests",INDEX($H$26:$H150,MATCH(C150,$F$26:$F150,0)),
IF(C_MEAS="Unique_Item_Requests",INDEX($I$26:$I150,MATCH(C150,$F$26:$F150,0)),
IF(C_MEAS="Total_Item_Investigations",INDEX($J$26:$J150,MATCH(C150,$F$26:$F150,0)),
IF(C_MEAS="Unique_Item_Investigations",INDEX($K$26:$K150,MATCH(C150,$F$26:$F150,0)),
IF(C_MEAS="User",INDEX($L$26:$L150,MATCH(C150,$F$26:$F150,0))
))))))</f>
        <v>#N/A</v>
      </c>
      <c r="F150"/>
      <c r="G150"/>
      <c r="H150"/>
      <c r="I150"/>
      <c r="J150"/>
      <c r="K150"/>
      <c r="L150"/>
    </row>
    <row r="151" spans="3:12" x14ac:dyDescent="0.35">
      <c r="C151" s="9">
        <f t="array" ref="C151">_xlfn.UNIQUE(F151:F151)</f>
        <v>0</v>
      </c>
      <c r="D151" s="13" t="e">
        <f>IF(C_MEAS="Sessions",INDEX($G$26:G151,MATCH(C151,$F$26:$F151,0)),
IF(C_MEAS="Total_Item_Requests",INDEX($H$26:$H151,MATCH(C151,$F$26:$F151,0)),
IF(C_MEAS="Unique_Item_Requests",INDEX($I$26:$I151,MATCH(C151,$F$26:$F151,0)),
IF(C_MEAS="Total_Item_Investigations",INDEX($J$26:$J151,MATCH(C151,$F$26:$F151,0)),
IF(C_MEAS="Unique_Item_Investigations",INDEX($K$26:$K151,MATCH(C151,$F$26:$F151,0)),
IF(C_MEAS="User",INDEX($L$26:$L151,MATCH(C151,$F$26:$F151,0))
))))))</f>
        <v>#N/A</v>
      </c>
      <c r="F151"/>
      <c r="G151"/>
      <c r="H151"/>
      <c r="I151"/>
      <c r="J151"/>
      <c r="K151"/>
      <c r="L151"/>
    </row>
    <row r="152" spans="3:12" x14ac:dyDescent="0.35">
      <c r="C152" s="9">
        <f t="array" ref="C152">_xlfn.UNIQUE(F152:F152)</f>
        <v>0</v>
      </c>
      <c r="D152" s="13" t="e">
        <f>IF(C_MEAS="Sessions",INDEX($G$26:G152,MATCH(C152,$F$26:$F152,0)),
IF(C_MEAS="Total_Item_Requests",INDEX($H$26:$H152,MATCH(C152,$F$26:$F152,0)),
IF(C_MEAS="Unique_Item_Requests",INDEX($I$26:$I152,MATCH(C152,$F$26:$F152,0)),
IF(C_MEAS="Total_Item_Investigations",INDEX($J$26:$J152,MATCH(C152,$F$26:$F152,0)),
IF(C_MEAS="Unique_Item_Investigations",INDEX($K$26:$K152,MATCH(C152,$F$26:$F152,0)),
IF(C_MEAS="User",INDEX($L$26:$L152,MATCH(C152,$F$26:$F152,0))
))))))</f>
        <v>#N/A</v>
      </c>
      <c r="F152"/>
      <c r="G152"/>
      <c r="H152"/>
      <c r="I152"/>
      <c r="J152"/>
      <c r="K152"/>
      <c r="L152"/>
    </row>
    <row r="153" spans="3:12" x14ac:dyDescent="0.35">
      <c r="C153" s="9">
        <f t="array" ref="C153">_xlfn.UNIQUE(F153:F153)</f>
        <v>0</v>
      </c>
      <c r="D153" s="13" t="e">
        <f>IF(C_MEAS="Sessions",INDEX($G$26:G153,MATCH(C153,$F$26:$F153,0)),
IF(C_MEAS="Total_Item_Requests",INDEX($H$26:$H153,MATCH(C153,$F$26:$F153,0)),
IF(C_MEAS="Unique_Item_Requests",INDEX($I$26:$I153,MATCH(C153,$F$26:$F153,0)),
IF(C_MEAS="Total_Item_Investigations",INDEX($J$26:$J153,MATCH(C153,$F$26:$F153,0)),
IF(C_MEAS="Unique_Item_Investigations",INDEX($K$26:$K153,MATCH(C153,$F$26:$F153,0)),
IF(C_MEAS="User",INDEX($L$26:$L153,MATCH(C153,$F$26:$F153,0))
))))))</f>
        <v>#N/A</v>
      </c>
      <c r="F153"/>
      <c r="G153"/>
      <c r="H153"/>
      <c r="I153"/>
      <c r="J153"/>
      <c r="K153"/>
      <c r="L153"/>
    </row>
    <row r="154" spans="3:12" x14ac:dyDescent="0.35">
      <c r="C154" s="9">
        <f t="array" ref="C154">_xlfn.UNIQUE(F154:F154)</f>
        <v>0</v>
      </c>
      <c r="D154" s="13" t="e">
        <f>IF(C_MEAS="Sessions",INDEX($G$26:G154,MATCH(C154,$F$26:$F154,0)),
IF(C_MEAS="Total_Item_Requests",INDEX($H$26:$H154,MATCH(C154,$F$26:$F154,0)),
IF(C_MEAS="Unique_Item_Requests",INDEX($I$26:$I154,MATCH(C154,$F$26:$F154,0)),
IF(C_MEAS="Total_Item_Investigations",INDEX($J$26:$J154,MATCH(C154,$F$26:$F154,0)),
IF(C_MEAS="Unique_Item_Investigations",INDEX($K$26:$K154,MATCH(C154,$F$26:$F154,0)),
IF(C_MEAS="User",INDEX($L$26:$L154,MATCH(C154,$F$26:$F154,0))
))))))</f>
        <v>#N/A</v>
      </c>
      <c r="F154"/>
      <c r="G154"/>
      <c r="H154"/>
      <c r="I154"/>
      <c r="J154"/>
      <c r="K154"/>
      <c r="L154"/>
    </row>
    <row r="155" spans="3:12" x14ac:dyDescent="0.35">
      <c r="C155" s="9">
        <f t="array" ref="C155">_xlfn.UNIQUE(F155:F155)</f>
        <v>0</v>
      </c>
      <c r="D155" s="13" t="e">
        <f>IF(C_MEAS="Sessions",INDEX($G$26:G155,MATCH(C155,$F$26:$F155,0)),
IF(C_MEAS="Total_Item_Requests",INDEX($H$26:$H155,MATCH(C155,$F$26:$F155,0)),
IF(C_MEAS="Unique_Item_Requests",INDEX($I$26:$I155,MATCH(C155,$F$26:$F155,0)),
IF(C_MEAS="Total_Item_Investigations",INDEX($J$26:$J155,MATCH(C155,$F$26:$F155,0)),
IF(C_MEAS="Unique_Item_Investigations",INDEX($K$26:$K155,MATCH(C155,$F$26:$F155,0)),
IF(C_MEAS="User",INDEX($L$26:$L155,MATCH(C155,$F$26:$F155,0))
))))))</f>
        <v>#N/A</v>
      </c>
      <c r="F155"/>
      <c r="G155"/>
      <c r="H155"/>
      <c r="I155"/>
      <c r="J155"/>
      <c r="K155"/>
      <c r="L155"/>
    </row>
    <row r="156" spans="3:12" x14ac:dyDescent="0.35">
      <c r="C156" s="9">
        <f t="array" ref="C156">_xlfn.UNIQUE(F156:F156)</f>
        <v>0</v>
      </c>
      <c r="D156" s="13" t="e">
        <f>IF(C_MEAS="Sessions",INDEX($G$26:G156,MATCH(C156,$F$26:$F156,0)),
IF(C_MEAS="Total_Item_Requests",INDEX($H$26:$H156,MATCH(C156,$F$26:$F156,0)),
IF(C_MEAS="Unique_Item_Requests",INDEX($I$26:$I156,MATCH(C156,$F$26:$F156,0)),
IF(C_MEAS="Total_Item_Investigations",INDEX($J$26:$J156,MATCH(C156,$F$26:$F156,0)),
IF(C_MEAS="Unique_Item_Investigations",INDEX($K$26:$K156,MATCH(C156,$F$26:$F156,0)),
IF(C_MEAS="User",INDEX($L$26:$L156,MATCH(C156,$F$26:$F156,0))
))))))</f>
        <v>#N/A</v>
      </c>
      <c r="F156"/>
      <c r="G156"/>
      <c r="H156"/>
      <c r="I156"/>
      <c r="J156"/>
      <c r="K156"/>
      <c r="L156"/>
    </row>
    <row r="157" spans="3:12" x14ac:dyDescent="0.35">
      <c r="C157" s="9">
        <f t="array" ref="C157">_xlfn.UNIQUE(F157:F157)</f>
        <v>0</v>
      </c>
      <c r="D157" s="13" t="e">
        <f>IF(C_MEAS="Sessions",INDEX($G$26:G157,MATCH(C157,$F$26:$F157,0)),
IF(C_MEAS="Total_Item_Requests",INDEX($H$26:$H157,MATCH(C157,$F$26:$F157,0)),
IF(C_MEAS="Unique_Item_Requests",INDEX($I$26:$I157,MATCH(C157,$F$26:$F157,0)),
IF(C_MEAS="Total_Item_Investigations",INDEX($J$26:$J157,MATCH(C157,$F$26:$F157,0)),
IF(C_MEAS="Unique_Item_Investigations",INDEX($K$26:$K157,MATCH(C157,$F$26:$F157,0)),
IF(C_MEAS="User",INDEX($L$26:$L157,MATCH(C157,$F$26:$F157,0))
))))))</f>
        <v>#N/A</v>
      </c>
      <c r="F157"/>
      <c r="G157"/>
      <c r="H157"/>
      <c r="I157"/>
      <c r="J157"/>
      <c r="K157"/>
      <c r="L157"/>
    </row>
    <row r="158" spans="3:12" x14ac:dyDescent="0.35">
      <c r="C158" s="9">
        <f t="array" ref="C158">_xlfn.UNIQUE(F158:F158)</f>
        <v>0</v>
      </c>
      <c r="D158" s="13" t="e">
        <f>IF(C_MEAS="Sessions",INDEX($G$26:G158,MATCH(C158,$F$26:$F158,0)),
IF(C_MEAS="Total_Item_Requests",INDEX($H$26:$H158,MATCH(C158,$F$26:$F158,0)),
IF(C_MEAS="Unique_Item_Requests",INDEX($I$26:$I158,MATCH(C158,$F$26:$F158,0)),
IF(C_MEAS="Total_Item_Investigations",INDEX($J$26:$J158,MATCH(C158,$F$26:$F158,0)),
IF(C_MEAS="Unique_Item_Investigations",INDEX($K$26:$K158,MATCH(C158,$F$26:$F158,0)),
IF(C_MEAS="User",INDEX($L$26:$L158,MATCH(C158,$F$26:$F158,0))
))))))</f>
        <v>#N/A</v>
      </c>
      <c r="F158"/>
      <c r="G158"/>
      <c r="H158"/>
      <c r="I158"/>
      <c r="J158"/>
      <c r="K158"/>
      <c r="L158"/>
    </row>
    <row r="159" spans="3:12" x14ac:dyDescent="0.35">
      <c r="C159" s="9">
        <f t="array" ref="C159">_xlfn.UNIQUE(F159:F159)</f>
        <v>0</v>
      </c>
      <c r="D159" s="13" t="e">
        <f>IF(C_MEAS="Sessions",INDEX($G$26:G159,MATCH(C159,$F$26:$F159,0)),
IF(C_MEAS="Total_Item_Requests",INDEX($H$26:$H159,MATCH(C159,$F$26:$F159,0)),
IF(C_MEAS="Unique_Item_Requests",INDEX($I$26:$I159,MATCH(C159,$F$26:$F159,0)),
IF(C_MEAS="Total_Item_Investigations",INDEX($J$26:$J159,MATCH(C159,$F$26:$F159,0)),
IF(C_MEAS="Unique_Item_Investigations",INDEX($K$26:$K159,MATCH(C159,$F$26:$F159,0)),
IF(C_MEAS="User",INDEX($L$26:$L159,MATCH(C159,$F$26:$F159,0))
))))))</f>
        <v>#N/A</v>
      </c>
      <c r="F159"/>
      <c r="G159"/>
      <c r="H159"/>
      <c r="I159"/>
      <c r="J159"/>
      <c r="K159"/>
      <c r="L159"/>
    </row>
    <row r="160" spans="3:12" x14ac:dyDescent="0.35">
      <c r="C160" s="9">
        <f t="array" ref="C160">_xlfn.UNIQUE(F160:F160)</f>
        <v>0</v>
      </c>
      <c r="D160" s="13" t="e">
        <f>IF(C_MEAS="Sessions",INDEX($G$26:G160,MATCH(C160,$F$26:$F160,0)),
IF(C_MEAS="Total_Item_Requests",INDEX($H$26:$H160,MATCH(C160,$F$26:$F160,0)),
IF(C_MEAS="Unique_Item_Requests",INDEX($I$26:$I160,MATCH(C160,$F$26:$F160,0)),
IF(C_MEAS="Total_Item_Investigations",INDEX($J$26:$J160,MATCH(C160,$F$26:$F160,0)),
IF(C_MEAS="Unique_Item_Investigations",INDEX($K$26:$K160,MATCH(C160,$F$26:$F160,0)),
IF(C_MEAS="User",INDEX($L$26:$L160,MATCH(C160,$F$26:$F160,0))
))))))</f>
        <v>#N/A</v>
      </c>
      <c r="F160"/>
      <c r="G160"/>
      <c r="H160"/>
      <c r="I160"/>
      <c r="J160"/>
      <c r="K160"/>
      <c r="L160"/>
    </row>
    <row r="161" spans="3:12" x14ac:dyDescent="0.35">
      <c r="C161" s="9">
        <f t="array" ref="C161">_xlfn.UNIQUE(F161:F161)</f>
        <v>0</v>
      </c>
      <c r="D161" s="13" t="e">
        <f>IF(C_MEAS="Sessions",INDEX($G$26:G161,MATCH(C161,$F$26:$F161,0)),
IF(C_MEAS="Total_Item_Requests",INDEX($H$26:$H161,MATCH(C161,$F$26:$F161,0)),
IF(C_MEAS="Unique_Item_Requests",INDEX($I$26:$I161,MATCH(C161,$F$26:$F161,0)),
IF(C_MEAS="Total_Item_Investigations",INDEX($J$26:$J161,MATCH(C161,$F$26:$F161,0)),
IF(C_MEAS="Unique_Item_Investigations",INDEX($K$26:$K161,MATCH(C161,$F$26:$F161,0)),
IF(C_MEAS="User",INDEX($L$26:$L161,MATCH(C161,$F$26:$F161,0))
))))))</f>
        <v>#N/A</v>
      </c>
      <c r="F161"/>
      <c r="G161"/>
      <c r="H161"/>
      <c r="I161"/>
      <c r="J161"/>
      <c r="K161"/>
      <c r="L161"/>
    </row>
    <row r="162" spans="3:12" x14ac:dyDescent="0.35">
      <c r="C162" s="9">
        <f t="array" ref="C162">_xlfn.UNIQUE(F162:F162)</f>
        <v>0</v>
      </c>
      <c r="D162" s="13" t="e">
        <f>IF(C_MEAS="Sessions",INDEX($G$26:G162,MATCH(C162,$F$26:$F162,0)),
IF(C_MEAS="Total_Item_Requests",INDEX($H$26:$H162,MATCH(C162,$F$26:$F162,0)),
IF(C_MEAS="Unique_Item_Requests",INDEX($I$26:$I162,MATCH(C162,$F$26:$F162,0)),
IF(C_MEAS="Total_Item_Investigations",INDEX($J$26:$J162,MATCH(C162,$F$26:$F162,0)),
IF(C_MEAS="Unique_Item_Investigations",INDEX($K$26:$K162,MATCH(C162,$F$26:$F162,0)),
IF(C_MEAS="User",INDEX($L$26:$L162,MATCH(C162,$F$26:$F162,0))
))))))</f>
        <v>#N/A</v>
      </c>
      <c r="F162"/>
      <c r="G162"/>
      <c r="H162"/>
      <c r="I162"/>
      <c r="J162"/>
      <c r="K162"/>
      <c r="L162"/>
    </row>
    <row r="163" spans="3:12" x14ac:dyDescent="0.35">
      <c r="C163" s="9">
        <f t="array" ref="C163">_xlfn.UNIQUE(F163:F163)</f>
        <v>0</v>
      </c>
      <c r="D163" s="13" t="e">
        <f>IF(C_MEAS="Sessions",INDEX($G$26:G163,MATCH(C163,$F$26:$F163,0)),
IF(C_MEAS="Total_Item_Requests",INDEX($H$26:$H163,MATCH(C163,$F$26:$F163,0)),
IF(C_MEAS="Unique_Item_Requests",INDEX($I$26:$I163,MATCH(C163,$F$26:$F163,0)),
IF(C_MEAS="Total_Item_Investigations",INDEX($J$26:$J163,MATCH(C163,$F$26:$F163,0)),
IF(C_MEAS="Unique_Item_Investigations",INDEX($K$26:$K163,MATCH(C163,$F$26:$F163,0)),
IF(C_MEAS="User",INDEX($L$26:$L163,MATCH(C163,$F$26:$F163,0))
))))))</f>
        <v>#N/A</v>
      </c>
      <c r="F163"/>
      <c r="G163"/>
      <c r="H163"/>
      <c r="I163"/>
      <c r="J163"/>
      <c r="K163"/>
      <c r="L163"/>
    </row>
    <row r="164" spans="3:12" x14ac:dyDescent="0.35">
      <c r="C164" s="9">
        <f t="array" ref="C164">_xlfn.UNIQUE(F164:F164)</f>
        <v>0</v>
      </c>
      <c r="D164" s="13" t="e">
        <f>IF(C_MEAS="Sessions",INDEX($G$26:G164,MATCH(C164,$F$26:$F164,0)),
IF(C_MEAS="Total_Item_Requests",INDEX($H$26:$H164,MATCH(C164,$F$26:$F164,0)),
IF(C_MEAS="Unique_Item_Requests",INDEX($I$26:$I164,MATCH(C164,$F$26:$F164,0)),
IF(C_MEAS="Total_Item_Investigations",INDEX($J$26:$J164,MATCH(C164,$F$26:$F164,0)),
IF(C_MEAS="Unique_Item_Investigations",INDEX($K$26:$K164,MATCH(C164,$F$26:$F164,0)),
IF(C_MEAS="User",INDEX($L$26:$L164,MATCH(C164,$F$26:$F164,0))
))))))</f>
        <v>#N/A</v>
      </c>
      <c r="F164"/>
      <c r="G164"/>
      <c r="H164"/>
      <c r="I164"/>
      <c r="J164"/>
      <c r="K164"/>
      <c r="L164"/>
    </row>
    <row r="165" spans="3:12" x14ac:dyDescent="0.35">
      <c r="C165" s="9">
        <f t="array" ref="C165">_xlfn.UNIQUE(F165:F165)</f>
        <v>0</v>
      </c>
      <c r="D165" s="13" t="e">
        <f>IF(C_MEAS="Sessions",INDEX($G$26:G165,MATCH(C165,$F$26:$F165,0)),
IF(C_MEAS="Total_Item_Requests",INDEX($H$26:$H165,MATCH(C165,$F$26:$F165,0)),
IF(C_MEAS="Unique_Item_Requests",INDEX($I$26:$I165,MATCH(C165,$F$26:$F165,0)),
IF(C_MEAS="Total_Item_Investigations",INDEX($J$26:$J165,MATCH(C165,$F$26:$F165,0)),
IF(C_MEAS="Unique_Item_Investigations",INDEX($K$26:$K165,MATCH(C165,$F$26:$F165,0)),
IF(C_MEAS="User",INDEX($L$26:$L165,MATCH(C165,$F$26:$F165,0))
))))))</f>
        <v>#N/A</v>
      </c>
      <c r="F165"/>
      <c r="G165"/>
      <c r="H165"/>
      <c r="I165"/>
      <c r="J165"/>
      <c r="K165"/>
      <c r="L165"/>
    </row>
    <row r="166" spans="3:12" x14ac:dyDescent="0.35">
      <c r="C166" s="9">
        <f t="array" ref="C166">_xlfn.UNIQUE(F166:F166)</f>
        <v>0</v>
      </c>
      <c r="D166" s="13" t="e">
        <f>IF(C_MEAS="Sessions",INDEX($G$26:G166,MATCH(C166,$F$26:$F166,0)),
IF(C_MEAS="Total_Item_Requests",INDEX($H$26:$H166,MATCH(C166,$F$26:$F166,0)),
IF(C_MEAS="Unique_Item_Requests",INDEX($I$26:$I166,MATCH(C166,$F$26:$F166,0)),
IF(C_MEAS="Total_Item_Investigations",INDEX($J$26:$J166,MATCH(C166,$F$26:$F166,0)),
IF(C_MEAS="Unique_Item_Investigations",INDEX($K$26:$K166,MATCH(C166,$F$26:$F166,0)),
IF(C_MEAS="User",INDEX($L$26:$L166,MATCH(C166,$F$26:$F166,0))
))))))</f>
        <v>#N/A</v>
      </c>
      <c r="F166"/>
      <c r="G166"/>
      <c r="H166"/>
      <c r="I166"/>
      <c r="J166"/>
      <c r="K166"/>
      <c r="L166"/>
    </row>
    <row r="167" spans="3:12" x14ac:dyDescent="0.35">
      <c r="C167" s="9">
        <f t="array" ref="C167">_xlfn.UNIQUE(F167:F167)</f>
        <v>0</v>
      </c>
      <c r="D167" s="13" t="e">
        <f>IF(C_MEAS="Sessions",INDEX($G$26:G167,MATCH(C167,$F$26:$F167,0)),
IF(C_MEAS="Total_Item_Requests",INDEX($H$26:$H167,MATCH(C167,$F$26:$F167,0)),
IF(C_MEAS="Unique_Item_Requests",INDEX($I$26:$I167,MATCH(C167,$F$26:$F167,0)),
IF(C_MEAS="Total_Item_Investigations",INDEX($J$26:$J167,MATCH(C167,$F$26:$F167,0)),
IF(C_MEAS="Unique_Item_Investigations",INDEX($K$26:$K167,MATCH(C167,$F$26:$F167,0)),
IF(C_MEAS="User",INDEX($L$26:$L167,MATCH(C167,$F$26:$F167,0))
))))))</f>
        <v>#N/A</v>
      </c>
      <c r="F167"/>
      <c r="G167"/>
      <c r="H167"/>
      <c r="I167"/>
      <c r="J167"/>
      <c r="K167"/>
      <c r="L167"/>
    </row>
    <row r="168" spans="3:12" x14ac:dyDescent="0.35">
      <c r="C168" s="9">
        <f t="array" ref="C168">_xlfn.UNIQUE(F168:F168)</f>
        <v>0</v>
      </c>
      <c r="D168" s="13" t="e">
        <f>IF(C_MEAS="Sessions",INDEX($G$26:G168,MATCH(C168,$F$26:$F168,0)),
IF(C_MEAS="Total_Item_Requests",INDEX($H$26:$H168,MATCH(C168,$F$26:$F168,0)),
IF(C_MEAS="Unique_Item_Requests",INDEX($I$26:$I168,MATCH(C168,$F$26:$F168,0)),
IF(C_MEAS="Total_Item_Investigations",INDEX($J$26:$J168,MATCH(C168,$F$26:$F168,0)),
IF(C_MEAS="Unique_Item_Investigations",INDEX($K$26:$K168,MATCH(C168,$F$26:$F168,0)),
IF(C_MEAS="User",INDEX($L$26:$L168,MATCH(C168,$F$26:$F168,0))
))))))</f>
        <v>#N/A</v>
      </c>
      <c r="F168"/>
      <c r="G168"/>
      <c r="H168"/>
      <c r="I168"/>
      <c r="J168"/>
      <c r="K168"/>
      <c r="L168"/>
    </row>
    <row r="169" spans="3:12" x14ac:dyDescent="0.35">
      <c r="C169" s="9">
        <f t="array" ref="C169">_xlfn.UNIQUE(F169:F169)</f>
        <v>0</v>
      </c>
      <c r="D169" s="13" t="e">
        <f>IF(C_MEAS="Sessions",INDEX($G$26:G169,MATCH(C169,$F$26:$F169,0)),
IF(C_MEAS="Total_Item_Requests",INDEX($H$26:$H169,MATCH(C169,$F$26:$F169,0)),
IF(C_MEAS="Unique_Item_Requests",INDEX($I$26:$I169,MATCH(C169,$F$26:$F169,0)),
IF(C_MEAS="Total_Item_Investigations",INDEX($J$26:$J169,MATCH(C169,$F$26:$F169,0)),
IF(C_MEAS="Unique_Item_Investigations",INDEX($K$26:$K169,MATCH(C169,$F$26:$F169,0)),
IF(C_MEAS="User",INDEX($L$26:$L169,MATCH(C169,$F$26:$F169,0))
))))))</f>
        <v>#N/A</v>
      </c>
      <c r="F169"/>
      <c r="G169"/>
      <c r="H169"/>
      <c r="I169"/>
      <c r="J169"/>
      <c r="K169"/>
      <c r="L169"/>
    </row>
    <row r="170" spans="3:12" x14ac:dyDescent="0.35">
      <c r="C170" s="9">
        <f t="array" ref="C170">_xlfn.UNIQUE(F170:F170)</f>
        <v>0</v>
      </c>
      <c r="D170" s="13" t="e">
        <f>IF(C_MEAS="Sessions",INDEX($G$26:G170,MATCH(C170,$F$26:$F170,0)),
IF(C_MEAS="Total_Item_Requests",INDEX($H$26:$H170,MATCH(C170,$F$26:$F170,0)),
IF(C_MEAS="Unique_Item_Requests",INDEX($I$26:$I170,MATCH(C170,$F$26:$F170,0)),
IF(C_MEAS="Total_Item_Investigations",INDEX($J$26:$J170,MATCH(C170,$F$26:$F170,0)),
IF(C_MEAS="Unique_Item_Investigations",INDEX($K$26:$K170,MATCH(C170,$F$26:$F170,0)),
IF(C_MEAS="User",INDEX($L$26:$L170,MATCH(C170,$F$26:$F170,0))
))))))</f>
        <v>#N/A</v>
      </c>
      <c r="F170"/>
      <c r="G170"/>
      <c r="H170"/>
      <c r="I170"/>
      <c r="J170"/>
      <c r="K170"/>
      <c r="L170"/>
    </row>
    <row r="171" spans="3:12" x14ac:dyDescent="0.35">
      <c r="C171" s="9">
        <f t="array" ref="C171">_xlfn.UNIQUE(F171:F171)</f>
        <v>0</v>
      </c>
      <c r="D171" s="13" t="e">
        <f>IF(C_MEAS="Sessions",INDEX($G$26:G171,MATCH(C171,$F$26:$F171,0)),
IF(C_MEAS="Total_Item_Requests",INDEX($H$26:$H171,MATCH(C171,$F$26:$F171,0)),
IF(C_MEAS="Unique_Item_Requests",INDEX($I$26:$I171,MATCH(C171,$F$26:$F171,0)),
IF(C_MEAS="Total_Item_Investigations",INDEX($J$26:$J171,MATCH(C171,$F$26:$F171,0)),
IF(C_MEAS="Unique_Item_Investigations",INDEX($K$26:$K171,MATCH(C171,$F$26:$F171,0)),
IF(C_MEAS="User",INDEX($L$26:$L171,MATCH(C171,$F$26:$F171,0))
))))))</f>
        <v>#N/A</v>
      </c>
      <c r="F171"/>
      <c r="G171"/>
      <c r="H171"/>
      <c r="I171"/>
      <c r="J171"/>
      <c r="K171"/>
      <c r="L171"/>
    </row>
    <row r="172" spans="3:12" x14ac:dyDescent="0.35">
      <c r="C172" s="9">
        <f t="array" ref="C172">_xlfn.UNIQUE(F172:F172)</f>
        <v>0</v>
      </c>
      <c r="D172" s="13" t="e">
        <f>IF(C_MEAS="Sessions",INDEX($G$26:G172,MATCH(C172,$F$26:$F172,0)),
IF(C_MEAS="Total_Item_Requests",INDEX($H$26:$H172,MATCH(C172,$F$26:$F172,0)),
IF(C_MEAS="Unique_Item_Requests",INDEX($I$26:$I172,MATCH(C172,$F$26:$F172,0)),
IF(C_MEAS="Total_Item_Investigations",INDEX($J$26:$J172,MATCH(C172,$F$26:$F172,0)),
IF(C_MEAS="Unique_Item_Investigations",INDEX($K$26:$K172,MATCH(C172,$F$26:$F172,0)),
IF(C_MEAS="User",INDEX($L$26:$L172,MATCH(C172,$F$26:$F172,0))
))))))</f>
        <v>#N/A</v>
      </c>
      <c r="F172"/>
      <c r="G172"/>
      <c r="H172"/>
      <c r="I172"/>
      <c r="J172"/>
      <c r="K172"/>
      <c r="L172"/>
    </row>
    <row r="173" spans="3:12" x14ac:dyDescent="0.35">
      <c r="C173" s="9">
        <f t="array" ref="C173">_xlfn.UNIQUE(F173:F173)</f>
        <v>0</v>
      </c>
      <c r="D173" s="13" t="e">
        <f>IF(C_MEAS="Sessions",INDEX($G$26:G173,MATCH(C173,$F$26:$F173,0)),
IF(C_MEAS="Total_Item_Requests",INDEX($H$26:$H173,MATCH(C173,$F$26:$F173,0)),
IF(C_MEAS="Unique_Item_Requests",INDEX($I$26:$I173,MATCH(C173,$F$26:$F173,0)),
IF(C_MEAS="Total_Item_Investigations",INDEX($J$26:$J173,MATCH(C173,$F$26:$F173,0)),
IF(C_MEAS="Unique_Item_Investigations",INDEX($K$26:$K173,MATCH(C173,$F$26:$F173,0)),
IF(C_MEAS="User",INDEX($L$26:$L173,MATCH(C173,$F$26:$F173,0))
))))))</f>
        <v>#N/A</v>
      </c>
      <c r="F173"/>
      <c r="G173"/>
      <c r="H173"/>
      <c r="I173"/>
      <c r="J173"/>
      <c r="K173"/>
      <c r="L173"/>
    </row>
    <row r="174" spans="3:12" x14ac:dyDescent="0.35">
      <c r="C174" s="9">
        <f t="array" ref="C174">_xlfn.UNIQUE(F174:F174)</f>
        <v>0</v>
      </c>
      <c r="D174" s="13" t="e">
        <f>IF(C_MEAS="Sessions",INDEX($G$26:G174,MATCH(C174,$F$26:$F174,0)),
IF(C_MEAS="Total_Item_Requests",INDEX($H$26:$H174,MATCH(C174,$F$26:$F174,0)),
IF(C_MEAS="Unique_Item_Requests",INDEX($I$26:$I174,MATCH(C174,$F$26:$F174,0)),
IF(C_MEAS="Total_Item_Investigations",INDEX($J$26:$J174,MATCH(C174,$F$26:$F174,0)),
IF(C_MEAS="Unique_Item_Investigations",INDEX($K$26:$K174,MATCH(C174,$F$26:$F174,0)),
IF(C_MEAS="User",INDEX($L$26:$L174,MATCH(C174,$F$26:$F174,0))
))))))</f>
        <v>#N/A</v>
      </c>
      <c r="F174"/>
      <c r="G174"/>
      <c r="H174"/>
      <c r="I174"/>
      <c r="J174"/>
      <c r="K174"/>
      <c r="L174"/>
    </row>
    <row r="175" spans="3:12" x14ac:dyDescent="0.35">
      <c r="C175" s="9">
        <f t="array" ref="C175">_xlfn.UNIQUE(F175:F175)</f>
        <v>0</v>
      </c>
      <c r="D175" s="13" t="e">
        <f>IF(C_MEAS="Sessions",INDEX($G$26:G175,MATCH(C175,$F$26:$F175,0)),
IF(C_MEAS="Total_Item_Requests",INDEX($H$26:$H175,MATCH(C175,$F$26:$F175,0)),
IF(C_MEAS="Unique_Item_Requests",INDEX($I$26:$I175,MATCH(C175,$F$26:$F175,0)),
IF(C_MEAS="Total_Item_Investigations",INDEX($J$26:$J175,MATCH(C175,$F$26:$F175,0)),
IF(C_MEAS="Unique_Item_Investigations",INDEX($K$26:$K175,MATCH(C175,$F$26:$F175,0)),
IF(C_MEAS="User",INDEX($L$26:$L175,MATCH(C175,$F$26:$F175,0))
))))))</f>
        <v>#N/A</v>
      </c>
      <c r="F175"/>
      <c r="G175"/>
      <c r="H175"/>
      <c r="I175"/>
      <c r="J175"/>
      <c r="K175"/>
      <c r="L175"/>
    </row>
    <row r="176" spans="3:12" x14ac:dyDescent="0.35">
      <c r="C176" s="9">
        <f t="array" ref="C176">_xlfn.UNIQUE(F176:F176)</f>
        <v>0</v>
      </c>
      <c r="D176" s="13" t="e">
        <f>IF(C_MEAS="Sessions",INDEX($G$26:G176,MATCH(C176,$F$26:$F176,0)),
IF(C_MEAS="Total_Item_Requests",INDEX($H$26:$H176,MATCH(C176,$F$26:$F176,0)),
IF(C_MEAS="Unique_Item_Requests",INDEX($I$26:$I176,MATCH(C176,$F$26:$F176,0)),
IF(C_MEAS="Total_Item_Investigations",INDEX($J$26:$J176,MATCH(C176,$F$26:$F176,0)),
IF(C_MEAS="Unique_Item_Investigations",INDEX($K$26:$K176,MATCH(C176,$F$26:$F176,0)),
IF(C_MEAS="User",INDEX($L$26:$L176,MATCH(C176,$F$26:$F176,0))
))))))</f>
        <v>#N/A</v>
      </c>
      <c r="F176"/>
      <c r="G176"/>
      <c r="H176"/>
      <c r="I176"/>
      <c r="J176"/>
      <c r="K176"/>
      <c r="L176"/>
    </row>
    <row r="177" spans="3:12" x14ac:dyDescent="0.35">
      <c r="C177" s="9">
        <f t="array" ref="C177">_xlfn.UNIQUE(F177:F177)</f>
        <v>0</v>
      </c>
      <c r="D177" s="13" t="e">
        <f>IF(C_MEAS="Sessions",INDEX($G$26:G177,MATCH(C177,$F$26:$F177,0)),
IF(C_MEAS="Total_Item_Requests",INDEX($H$26:$H177,MATCH(C177,$F$26:$F177,0)),
IF(C_MEAS="Unique_Item_Requests",INDEX($I$26:$I177,MATCH(C177,$F$26:$F177,0)),
IF(C_MEAS="Total_Item_Investigations",INDEX($J$26:$J177,MATCH(C177,$F$26:$F177,0)),
IF(C_MEAS="Unique_Item_Investigations",INDEX($K$26:$K177,MATCH(C177,$F$26:$F177,0)),
IF(C_MEAS="User",INDEX($L$26:$L177,MATCH(C177,$F$26:$F177,0))
))))))</f>
        <v>#N/A</v>
      </c>
      <c r="F177"/>
      <c r="G177"/>
      <c r="H177"/>
      <c r="I177"/>
      <c r="J177"/>
      <c r="K177"/>
      <c r="L177"/>
    </row>
    <row r="178" spans="3:12" x14ac:dyDescent="0.35">
      <c r="C178" s="9">
        <f t="array" ref="C178">_xlfn.UNIQUE(F178:F178)</f>
        <v>0</v>
      </c>
      <c r="D178" s="13" t="e">
        <f>IF(C_MEAS="Sessions",INDEX($G$26:G178,MATCH(C178,$F$26:$F178,0)),
IF(C_MEAS="Total_Item_Requests",INDEX($H$26:$H178,MATCH(C178,$F$26:$F178,0)),
IF(C_MEAS="Unique_Item_Requests",INDEX($I$26:$I178,MATCH(C178,$F$26:$F178,0)),
IF(C_MEAS="Total_Item_Investigations",INDEX($J$26:$J178,MATCH(C178,$F$26:$F178,0)),
IF(C_MEAS="Unique_Item_Investigations",INDEX($K$26:$K178,MATCH(C178,$F$26:$F178,0)),
IF(C_MEAS="User",INDEX($L$26:$L178,MATCH(C178,$F$26:$F178,0))
))))))</f>
        <v>#N/A</v>
      </c>
      <c r="F178"/>
      <c r="G178"/>
      <c r="H178"/>
      <c r="I178"/>
      <c r="J178"/>
      <c r="K178"/>
      <c r="L178"/>
    </row>
    <row r="179" spans="3:12" x14ac:dyDescent="0.35">
      <c r="C179" s="9">
        <f t="array" ref="C179">_xlfn.UNIQUE(F179:F179)</f>
        <v>0</v>
      </c>
      <c r="D179" s="13" t="e">
        <f>IF(C_MEAS="Sessions",INDEX($G$26:G179,MATCH(C179,$F$26:$F179,0)),
IF(C_MEAS="Total_Item_Requests",INDEX($H$26:$H179,MATCH(C179,$F$26:$F179,0)),
IF(C_MEAS="Unique_Item_Requests",INDEX($I$26:$I179,MATCH(C179,$F$26:$F179,0)),
IF(C_MEAS="Total_Item_Investigations",INDEX($J$26:$J179,MATCH(C179,$F$26:$F179,0)),
IF(C_MEAS="Unique_Item_Investigations",INDEX($K$26:$K179,MATCH(C179,$F$26:$F179,0)),
IF(C_MEAS="User",INDEX($L$26:$L179,MATCH(C179,$F$26:$F179,0))
))))))</f>
        <v>#N/A</v>
      </c>
      <c r="F179"/>
      <c r="G179"/>
      <c r="H179"/>
      <c r="I179"/>
      <c r="J179"/>
      <c r="K179"/>
      <c r="L179"/>
    </row>
    <row r="180" spans="3:12" x14ac:dyDescent="0.35">
      <c r="C180" s="9">
        <f t="array" ref="C180">_xlfn.UNIQUE(F180:F180)</f>
        <v>0</v>
      </c>
      <c r="D180" s="13" t="e">
        <f>IF(C_MEAS="Sessions",INDEX($G$26:G180,MATCH(C180,$F$26:$F180,0)),
IF(C_MEAS="Total_Item_Requests",INDEX($H$26:$H180,MATCH(C180,$F$26:$F180,0)),
IF(C_MEAS="Unique_Item_Requests",INDEX($I$26:$I180,MATCH(C180,$F$26:$F180,0)),
IF(C_MEAS="Total_Item_Investigations",INDEX($J$26:$J180,MATCH(C180,$F$26:$F180,0)),
IF(C_MEAS="Unique_Item_Investigations",INDEX($K$26:$K180,MATCH(C180,$F$26:$F180,0)),
IF(C_MEAS="User",INDEX($L$26:$L180,MATCH(C180,$F$26:$F180,0))
))))))</f>
        <v>#N/A</v>
      </c>
      <c r="F180"/>
      <c r="G180"/>
      <c r="H180"/>
      <c r="I180"/>
      <c r="J180"/>
      <c r="K180"/>
      <c r="L180"/>
    </row>
    <row r="181" spans="3:12" x14ac:dyDescent="0.35">
      <c r="C181" s="9">
        <f t="array" ref="C181">_xlfn.UNIQUE(F181:F181)</f>
        <v>0</v>
      </c>
      <c r="D181" s="13" t="e">
        <f>IF(C_MEAS="Sessions",INDEX($G$26:G181,MATCH(C181,$F$26:$F181,0)),
IF(C_MEAS="Total_Item_Requests",INDEX($H$26:$H181,MATCH(C181,$F$26:$F181,0)),
IF(C_MEAS="Unique_Item_Requests",INDEX($I$26:$I181,MATCH(C181,$F$26:$F181,0)),
IF(C_MEAS="Total_Item_Investigations",INDEX($J$26:$J181,MATCH(C181,$F$26:$F181,0)),
IF(C_MEAS="Unique_Item_Investigations",INDEX($K$26:$K181,MATCH(C181,$F$26:$F181,0)),
IF(C_MEAS="User",INDEX($L$26:$L181,MATCH(C181,$F$26:$F181,0))
))))))</f>
        <v>#N/A</v>
      </c>
      <c r="F181"/>
      <c r="G181"/>
      <c r="H181"/>
      <c r="I181"/>
      <c r="J181"/>
      <c r="K181"/>
      <c r="L181"/>
    </row>
    <row r="182" spans="3:12" x14ac:dyDescent="0.35">
      <c r="C182" s="9">
        <f t="array" ref="C182">_xlfn.UNIQUE(F182:F182)</f>
        <v>0</v>
      </c>
      <c r="D182" s="13" t="e">
        <f>IF(C_MEAS="Sessions",INDEX($G$26:G182,MATCH(C182,$F$26:$F182,0)),
IF(C_MEAS="Total_Item_Requests",INDEX($H$26:$H182,MATCH(C182,$F$26:$F182,0)),
IF(C_MEAS="Unique_Item_Requests",INDEX($I$26:$I182,MATCH(C182,$F$26:$F182,0)),
IF(C_MEAS="Total_Item_Investigations",INDEX($J$26:$J182,MATCH(C182,$F$26:$F182,0)),
IF(C_MEAS="Unique_Item_Investigations",INDEX($K$26:$K182,MATCH(C182,$F$26:$F182,0)),
IF(C_MEAS="User",INDEX($L$26:$L182,MATCH(C182,$F$26:$F182,0))
))))))</f>
        <v>#N/A</v>
      </c>
      <c r="F182"/>
      <c r="G182"/>
      <c r="H182"/>
      <c r="I182"/>
      <c r="J182"/>
      <c r="K182"/>
      <c r="L182"/>
    </row>
    <row r="183" spans="3:12" x14ac:dyDescent="0.35">
      <c r="C183" s="9">
        <f t="array" ref="C183">_xlfn.UNIQUE(F183:F183)</f>
        <v>0</v>
      </c>
      <c r="D183" s="13" t="e">
        <f>IF(C_MEAS="Sessions",INDEX($G$26:G183,MATCH(C183,$F$26:$F183,0)),
IF(C_MEAS="Total_Item_Requests",INDEX($H$26:$H183,MATCH(C183,$F$26:$F183,0)),
IF(C_MEAS="Unique_Item_Requests",INDEX($I$26:$I183,MATCH(C183,$F$26:$F183,0)),
IF(C_MEAS="Total_Item_Investigations",INDEX($J$26:$J183,MATCH(C183,$F$26:$F183,0)),
IF(C_MEAS="Unique_Item_Investigations",INDEX($K$26:$K183,MATCH(C183,$F$26:$F183,0)),
IF(C_MEAS="User",INDEX($L$26:$L183,MATCH(C183,$F$26:$F183,0))
))))))</f>
        <v>#N/A</v>
      </c>
      <c r="F183"/>
      <c r="G183"/>
      <c r="H183"/>
      <c r="I183"/>
      <c r="J183"/>
      <c r="K183"/>
      <c r="L183"/>
    </row>
    <row r="184" spans="3:12" x14ac:dyDescent="0.35">
      <c r="C184" s="9">
        <f t="array" ref="C184">_xlfn.UNIQUE(F184:F184)</f>
        <v>0</v>
      </c>
      <c r="D184" s="13" t="e">
        <f>IF(C_MEAS="Sessions",INDEX($G$26:G184,MATCH(C184,$F$26:$F184,0)),
IF(C_MEAS="Total_Item_Requests",INDEX($H$26:$H184,MATCH(C184,$F$26:$F184,0)),
IF(C_MEAS="Unique_Item_Requests",INDEX($I$26:$I184,MATCH(C184,$F$26:$F184,0)),
IF(C_MEAS="Total_Item_Investigations",INDEX($J$26:$J184,MATCH(C184,$F$26:$F184,0)),
IF(C_MEAS="Unique_Item_Investigations",INDEX($K$26:$K184,MATCH(C184,$F$26:$F184,0)),
IF(C_MEAS="User",INDEX($L$26:$L184,MATCH(C184,$F$26:$F184,0))
))))))</f>
        <v>#N/A</v>
      </c>
      <c r="F184"/>
      <c r="G184"/>
      <c r="H184"/>
      <c r="I184"/>
      <c r="J184"/>
      <c r="K184"/>
      <c r="L184"/>
    </row>
    <row r="185" spans="3:12" x14ac:dyDescent="0.35">
      <c r="C185" s="9">
        <f t="array" ref="C185">_xlfn.UNIQUE(F185:F185)</f>
        <v>0</v>
      </c>
      <c r="D185" s="13" t="e">
        <f>IF(C_MEAS="Sessions",INDEX($G$26:G185,MATCH(C185,$F$26:$F185,0)),
IF(C_MEAS="Total_Item_Requests",INDEX($H$26:$H185,MATCH(C185,$F$26:$F185,0)),
IF(C_MEAS="Unique_Item_Requests",INDEX($I$26:$I185,MATCH(C185,$F$26:$F185,0)),
IF(C_MEAS="Total_Item_Investigations",INDEX($J$26:$J185,MATCH(C185,$F$26:$F185,0)),
IF(C_MEAS="Unique_Item_Investigations",INDEX($K$26:$K185,MATCH(C185,$F$26:$F185,0)),
IF(C_MEAS="User",INDEX($L$26:$L185,MATCH(C185,$F$26:$F185,0))
))))))</f>
        <v>#N/A</v>
      </c>
      <c r="F185"/>
      <c r="G185"/>
      <c r="H185"/>
      <c r="I185"/>
      <c r="J185"/>
      <c r="K185"/>
      <c r="L185"/>
    </row>
    <row r="186" spans="3:12" x14ac:dyDescent="0.35">
      <c r="C186" s="9">
        <f t="array" ref="C186">_xlfn.UNIQUE(F186:F186)</f>
        <v>0</v>
      </c>
      <c r="D186" s="13" t="e">
        <f>IF(C_MEAS="Sessions",INDEX($G$26:G186,MATCH(C186,$F$26:$F186,0)),
IF(C_MEAS="Total_Item_Requests",INDEX($H$26:$H186,MATCH(C186,$F$26:$F186,0)),
IF(C_MEAS="Unique_Item_Requests",INDEX($I$26:$I186,MATCH(C186,$F$26:$F186,0)),
IF(C_MEAS="Total_Item_Investigations",INDEX($J$26:$J186,MATCH(C186,$F$26:$F186,0)),
IF(C_MEAS="Unique_Item_Investigations",INDEX($K$26:$K186,MATCH(C186,$F$26:$F186,0)),
IF(C_MEAS="User",INDEX($L$26:$L186,MATCH(C186,$F$26:$F186,0))
))))))</f>
        <v>#N/A</v>
      </c>
      <c r="F186"/>
      <c r="G186"/>
      <c r="H186"/>
      <c r="I186"/>
      <c r="J186"/>
      <c r="K186"/>
      <c r="L186"/>
    </row>
    <row r="187" spans="3:12" x14ac:dyDescent="0.35">
      <c r="C187" s="9">
        <f t="array" ref="C187">_xlfn.UNIQUE(F187:F187)</f>
        <v>0</v>
      </c>
      <c r="D187" s="13" t="e">
        <f>IF(C_MEAS="Sessions",INDEX($G$26:G187,MATCH(C187,$F$26:$F187,0)),
IF(C_MEAS="Total_Item_Requests",INDEX($H$26:$H187,MATCH(C187,$F$26:$F187,0)),
IF(C_MEAS="Unique_Item_Requests",INDEX($I$26:$I187,MATCH(C187,$F$26:$F187,0)),
IF(C_MEAS="Total_Item_Investigations",INDEX($J$26:$J187,MATCH(C187,$F$26:$F187,0)),
IF(C_MEAS="Unique_Item_Investigations",INDEX($K$26:$K187,MATCH(C187,$F$26:$F187,0)),
IF(C_MEAS="User",INDEX($L$26:$L187,MATCH(C187,$F$26:$F187,0))
))))))</f>
        <v>#N/A</v>
      </c>
      <c r="F187"/>
      <c r="G187"/>
      <c r="H187"/>
      <c r="I187"/>
      <c r="J187"/>
      <c r="K187"/>
      <c r="L187"/>
    </row>
    <row r="188" spans="3:12" x14ac:dyDescent="0.35">
      <c r="C188" s="9">
        <f t="array" ref="C188">_xlfn.UNIQUE(F188:F188)</f>
        <v>0</v>
      </c>
      <c r="D188" s="13" t="e">
        <f>IF(C_MEAS="Sessions",INDEX($G$26:G188,MATCH(C188,$F$26:$F188,0)),
IF(C_MEAS="Total_Item_Requests",INDEX($H$26:$H188,MATCH(C188,$F$26:$F188,0)),
IF(C_MEAS="Unique_Item_Requests",INDEX($I$26:$I188,MATCH(C188,$F$26:$F188,0)),
IF(C_MEAS="Total_Item_Investigations",INDEX($J$26:$J188,MATCH(C188,$F$26:$F188,0)),
IF(C_MEAS="Unique_Item_Investigations",INDEX($K$26:$K188,MATCH(C188,$F$26:$F188,0)),
IF(C_MEAS="User",INDEX($L$26:$L188,MATCH(C188,$F$26:$F188,0))
))))))</f>
        <v>#N/A</v>
      </c>
      <c r="F188"/>
      <c r="G188"/>
      <c r="H188"/>
      <c r="I188"/>
      <c r="J188"/>
      <c r="K188"/>
      <c r="L188"/>
    </row>
    <row r="189" spans="3:12" x14ac:dyDescent="0.35">
      <c r="C189" s="9">
        <f t="array" ref="C189">_xlfn.UNIQUE(F189:F189)</f>
        <v>0</v>
      </c>
      <c r="D189" s="13" t="e">
        <f>IF(C_MEAS="Sessions",INDEX($G$26:G189,MATCH(C189,$F$26:$F189,0)),
IF(C_MEAS="Total_Item_Requests",INDEX($H$26:$H189,MATCH(C189,$F$26:$F189,0)),
IF(C_MEAS="Unique_Item_Requests",INDEX($I$26:$I189,MATCH(C189,$F$26:$F189,0)),
IF(C_MEAS="Total_Item_Investigations",INDEX($J$26:$J189,MATCH(C189,$F$26:$F189,0)),
IF(C_MEAS="Unique_Item_Investigations",INDEX($K$26:$K189,MATCH(C189,$F$26:$F189,0)),
IF(C_MEAS="User",INDEX($L$26:$L189,MATCH(C189,$F$26:$F189,0))
))))))</f>
        <v>#N/A</v>
      </c>
      <c r="F189"/>
      <c r="G189"/>
      <c r="H189"/>
      <c r="I189"/>
      <c r="J189"/>
      <c r="K189"/>
      <c r="L189"/>
    </row>
    <row r="190" spans="3:12" x14ac:dyDescent="0.35">
      <c r="C190" s="9">
        <f t="array" ref="C190">_xlfn.UNIQUE(F190:F190)</f>
        <v>0</v>
      </c>
      <c r="D190" s="13" t="e">
        <f>IF(C_MEAS="Sessions",INDEX($G$26:G190,MATCH(C190,$F$26:$F190,0)),
IF(C_MEAS="Total_Item_Requests",INDEX($H$26:$H190,MATCH(C190,$F$26:$F190,0)),
IF(C_MEAS="Unique_Item_Requests",INDEX($I$26:$I190,MATCH(C190,$F$26:$F190,0)),
IF(C_MEAS="Total_Item_Investigations",INDEX($J$26:$J190,MATCH(C190,$F$26:$F190,0)),
IF(C_MEAS="Unique_Item_Investigations",INDEX($K$26:$K190,MATCH(C190,$F$26:$F190,0)),
IF(C_MEAS="User",INDEX($L$26:$L190,MATCH(C190,$F$26:$F190,0))
))))))</f>
        <v>#N/A</v>
      </c>
      <c r="F190"/>
      <c r="G190"/>
      <c r="H190"/>
      <c r="I190"/>
      <c r="J190"/>
      <c r="K190"/>
      <c r="L190"/>
    </row>
    <row r="191" spans="3:12" x14ac:dyDescent="0.35">
      <c r="C191" s="9">
        <f t="array" ref="C191">_xlfn.UNIQUE(F191:F191)</f>
        <v>0</v>
      </c>
      <c r="D191" s="13" t="e">
        <f>IF(C_MEAS="Sessions",INDEX($G$26:G191,MATCH(C191,$F$26:$F191,0)),
IF(C_MEAS="Total_Item_Requests",INDEX($H$26:$H191,MATCH(C191,$F$26:$F191,0)),
IF(C_MEAS="Unique_Item_Requests",INDEX($I$26:$I191,MATCH(C191,$F$26:$F191,0)),
IF(C_MEAS="Total_Item_Investigations",INDEX($J$26:$J191,MATCH(C191,$F$26:$F191,0)),
IF(C_MEAS="Unique_Item_Investigations",INDEX($K$26:$K191,MATCH(C191,$F$26:$F191,0)),
IF(C_MEAS="User",INDEX($L$26:$L191,MATCH(C191,$F$26:$F191,0))
))))))</f>
        <v>#N/A</v>
      </c>
      <c r="F191"/>
      <c r="G191"/>
      <c r="H191"/>
      <c r="I191"/>
      <c r="J191"/>
      <c r="K191"/>
      <c r="L191"/>
    </row>
    <row r="192" spans="3:12" x14ac:dyDescent="0.35">
      <c r="C192" s="9">
        <f t="array" ref="C192">_xlfn.UNIQUE(F192:F192)</f>
        <v>0</v>
      </c>
      <c r="D192" s="13" t="e">
        <f>IF(C_MEAS="Sessions",INDEX($G$26:G192,MATCH(C192,$F$26:$F192,0)),
IF(C_MEAS="Total_Item_Requests",INDEX($H$26:$H192,MATCH(C192,$F$26:$F192,0)),
IF(C_MEAS="Unique_Item_Requests",INDEX($I$26:$I192,MATCH(C192,$F$26:$F192,0)),
IF(C_MEAS="Total_Item_Investigations",INDEX($J$26:$J192,MATCH(C192,$F$26:$F192,0)),
IF(C_MEAS="Unique_Item_Investigations",INDEX($K$26:$K192,MATCH(C192,$F$26:$F192,0)),
IF(C_MEAS="User",INDEX($L$26:$L192,MATCH(C192,$F$26:$F192,0))
))))))</f>
        <v>#N/A</v>
      </c>
      <c r="F192"/>
      <c r="G192"/>
      <c r="H192"/>
      <c r="I192"/>
      <c r="J192"/>
      <c r="K192"/>
      <c r="L192"/>
    </row>
    <row r="193" spans="3:12" x14ac:dyDescent="0.35">
      <c r="C193" s="9">
        <f t="array" ref="C193">_xlfn.UNIQUE(F193:F193)</f>
        <v>0</v>
      </c>
      <c r="D193" s="13" t="e">
        <f>IF(C_MEAS="Sessions",INDEX($G$26:G193,MATCH(C193,$F$26:$F193,0)),
IF(C_MEAS="Total_Item_Requests",INDEX($H$26:$H193,MATCH(C193,$F$26:$F193,0)),
IF(C_MEAS="Unique_Item_Requests",INDEX($I$26:$I193,MATCH(C193,$F$26:$F193,0)),
IF(C_MEAS="Total_Item_Investigations",INDEX($J$26:$J193,MATCH(C193,$F$26:$F193,0)),
IF(C_MEAS="Unique_Item_Investigations",INDEX($K$26:$K193,MATCH(C193,$F$26:$F193,0)),
IF(C_MEAS="User",INDEX($L$26:$L193,MATCH(C193,$F$26:$F193,0))
))))))</f>
        <v>#N/A</v>
      </c>
      <c r="F193"/>
      <c r="G193"/>
      <c r="H193"/>
      <c r="I193"/>
      <c r="J193"/>
      <c r="K193"/>
      <c r="L193"/>
    </row>
    <row r="194" spans="3:12" x14ac:dyDescent="0.35">
      <c r="C194" s="9">
        <f t="array" ref="C194">_xlfn.UNIQUE(F194:F194)</f>
        <v>0</v>
      </c>
      <c r="D194" s="13" t="e">
        <f>IF(C_MEAS="Sessions",INDEX($G$26:G194,MATCH(C194,$F$26:$F194,0)),
IF(C_MEAS="Total_Item_Requests",INDEX($H$26:$H194,MATCH(C194,$F$26:$F194,0)),
IF(C_MEAS="Unique_Item_Requests",INDEX($I$26:$I194,MATCH(C194,$F$26:$F194,0)),
IF(C_MEAS="Total_Item_Investigations",INDEX($J$26:$J194,MATCH(C194,$F$26:$F194,0)),
IF(C_MEAS="Unique_Item_Investigations",INDEX($K$26:$K194,MATCH(C194,$F$26:$F194,0)),
IF(C_MEAS="User",INDEX($L$26:$L194,MATCH(C194,$F$26:$F194,0))
))))))</f>
        <v>#N/A</v>
      </c>
      <c r="F194"/>
      <c r="G194"/>
      <c r="H194"/>
      <c r="I194"/>
      <c r="J194"/>
      <c r="K194"/>
      <c r="L194"/>
    </row>
    <row r="195" spans="3:12" x14ac:dyDescent="0.35">
      <c r="C195" s="9">
        <f t="array" ref="C195">_xlfn.UNIQUE(F195:F195)</f>
        <v>0</v>
      </c>
      <c r="D195" s="13" t="e">
        <f>IF(C_MEAS="Sessions",INDEX($G$26:G195,MATCH(C195,$F$26:$F195,0)),
IF(C_MEAS="Total_Item_Requests",INDEX($H$26:$H195,MATCH(C195,$F$26:$F195,0)),
IF(C_MEAS="Unique_Item_Requests",INDEX($I$26:$I195,MATCH(C195,$F$26:$F195,0)),
IF(C_MEAS="Total_Item_Investigations",INDEX($J$26:$J195,MATCH(C195,$F$26:$F195,0)),
IF(C_MEAS="Unique_Item_Investigations",INDEX($K$26:$K195,MATCH(C195,$F$26:$F195,0)),
IF(C_MEAS="User",INDEX($L$26:$L195,MATCH(C195,$F$26:$F195,0))
))))))</f>
        <v>#N/A</v>
      </c>
      <c r="F195"/>
      <c r="G195"/>
      <c r="H195"/>
      <c r="I195"/>
      <c r="J195"/>
      <c r="K195"/>
      <c r="L195"/>
    </row>
    <row r="196" spans="3:12" x14ac:dyDescent="0.35">
      <c r="C196" s="9">
        <f t="array" ref="C196">_xlfn.UNIQUE(F196:F196)</f>
        <v>0</v>
      </c>
      <c r="D196" s="13" t="e">
        <f>IF(C_MEAS="Sessions",INDEX($G$26:G196,MATCH(C196,$F$26:$F196,0)),
IF(C_MEAS="Total_Item_Requests",INDEX($H$26:$H196,MATCH(C196,$F$26:$F196,0)),
IF(C_MEAS="Unique_Item_Requests",INDEX($I$26:$I196,MATCH(C196,$F$26:$F196,0)),
IF(C_MEAS="Total_Item_Investigations",INDEX($J$26:$J196,MATCH(C196,$F$26:$F196,0)),
IF(C_MEAS="Unique_Item_Investigations",INDEX($K$26:$K196,MATCH(C196,$F$26:$F196,0)),
IF(C_MEAS="User",INDEX($L$26:$L196,MATCH(C196,$F$26:$F196,0))
))))))</f>
        <v>#N/A</v>
      </c>
      <c r="F196"/>
      <c r="G196"/>
      <c r="H196"/>
      <c r="I196"/>
      <c r="J196"/>
      <c r="K196"/>
      <c r="L196"/>
    </row>
    <row r="197" spans="3:12" x14ac:dyDescent="0.35">
      <c r="C197" s="9">
        <f t="array" ref="C197">_xlfn.UNIQUE(F197:F197)</f>
        <v>0</v>
      </c>
      <c r="D197" s="13" t="e">
        <f>IF(C_MEAS="Sessions",INDEX($G$26:G197,MATCH(C197,$F$26:$F197,0)),
IF(C_MEAS="Total_Item_Requests",INDEX($H$26:$H197,MATCH(C197,$F$26:$F197,0)),
IF(C_MEAS="Unique_Item_Requests",INDEX($I$26:$I197,MATCH(C197,$F$26:$F197,0)),
IF(C_MEAS="Total_Item_Investigations",INDEX($J$26:$J197,MATCH(C197,$F$26:$F197,0)),
IF(C_MEAS="Unique_Item_Investigations",INDEX($K$26:$K197,MATCH(C197,$F$26:$F197,0)),
IF(C_MEAS="User",INDEX($L$26:$L197,MATCH(C197,$F$26:$F197,0))
))))))</f>
        <v>#N/A</v>
      </c>
      <c r="F197"/>
      <c r="G197"/>
      <c r="H197"/>
      <c r="I197"/>
      <c r="J197"/>
      <c r="K197"/>
      <c r="L197"/>
    </row>
    <row r="198" spans="3:12" x14ac:dyDescent="0.35">
      <c r="C198" s="9">
        <f t="array" ref="C198">_xlfn.UNIQUE(F198:F198)</f>
        <v>0</v>
      </c>
      <c r="D198" s="13" t="e">
        <f>IF(C_MEAS="Sessions",INDEX($G$26:G198,MATCH(C198,$F$26:$F198,0)),
IF(C_MEAS="Total_Item_Requests",INDEX($H$26:$H198,MATCH(C198,$F$26:$F198,0)),
IF(C_MEAS="Unique_Item_Requests",INDEX($I$26:$I198,MATCH(C198,$F$26:$F198,0)),
IF(C_MEAS="Total_Item_Investigations",INDEX($J$26:$J198,MATCH(C198,$F$26:$F198,0)),
IF(C_MEAS="Unique_Item_Investigations",INDEX($K$26:$K198,MATCH(C198,$F$26:$F198,0)),
IF(C_MEAS="User",INDEX($L$26:$L198,MATCH(C198,$F$26:$F198,0))
))))))</f>
        <v>#N/A</v>
      </c>
      <c r="F198"/>
      <c r="G198"/>
      <c r="H198"/>
      <c r="I198"/>
      <c r="J198"/>
      <c r="K198"/>
      <c r="L198"/>
    </row>
    <row r="199" spans="3:12" x14ac:dyDescent="0.35">
      <c r="C199" s="9">
        <f t="array" ref="C199">_xlfn.UNIQUE(F199:F199)</f>
        <v>0</v>
      </c>
      <c r="D199" s="13" t="e">
        <f>IF(C_MEAS="Sessions",INDEX($G$26:G199,MATCH(C199,$F$26:$F199,0)),
IF(C_MEAS="Total_Item_Requests",INDEX($H$26:$H199,MATCH(C199,$F$26:$F199,0)),
IF(C_MEAS="Unique_Item_Requests",INDEX($I$26:$I199,MATCH(C199,$F$26:$F199,0)),
IF(C_MEAS="Total_Item_Investigations",INDEX($J$26:$J199,MATCH(C199,$F$26:$F199,0)),
IF(C_MEAS="Unique_Item_Investigations",INDEX($K$26:$K199,MATCH(C199,$F$26:$F199,0)),
IF(C_MEAS="User",INDEX($L$26:$L199,MATCH(C199,$F$26:$F199,0))
))))))</f>
        <v>#N/A</v>
      </c>
      <c r="F199"/>
      <c r="G199"/>
      <c r="H199"/>
      <c r="I199"/>
      <c r="J199"/>
      <c r="K199"/>
      <c r="L199"/>
    </row>
    <row r="200" spans="3:12" x14ac:dyDescent="0.35">
      <c r="C200" s="9">
        <f t="array" ref="C200">_xlfn.UNIQUE(F200:F200)</f>
        <v>0</v>
      </c>
      <c r="D200" s="13" t="e">
        <f>IF(C_MEAS="Sessions",INDEX($G$26:G200,MATCH(C200,$F$26:$F200,0)),
IF(C_MEAS="Total_Item_Requests",INDEX($H$26:$H200,MATCH(C200,$F$26:$F200,0)),
IF(C_MEAS="Unique_Item_Requests",INDEX($I$26:$I200,MATCH(C200,$F$26:$F200,0)),
IF(C_MEAS="Total_Item_Investigations",INDEX($J$26:$J200,MATCH(C200,$F$26:$F200,0)),
IF(C_MEAS="Unique_Item_Investigations",INDEX($K$26:$K200,MATCH(C200,$F$26:$F200,0)),
IF(C_MEAS="User",INDEX($L$26:$L200,MATCH(C200,$F$26:$F200,0))
))))))</f>
        <v>#N/A</v>
      </c>
      <c r="F200"/>
      <c r="G200"/>
      <c r="H200"/>
      <c r="I200"/>
      <c r="J200"/>
      <c r="K200"/>
      <c r="L200"/>
    </row>
    <row r="201" spans="3:12" x14ac:dyDescent="0.35">
      <c r="C201" s="9">
        <f t="array" ref="C201">_xlfn.UNIQUE(F201:F201)</f>
        <v>0</v>
      </c>
      <c r="D201" s="13" t="e">
        <f>IF(C_MEAS="Sessions",INDEX($G$26:G201,MATCH(C201,$F$26:$F201,0)),
IF(C_MEAS="Total_Item_Requests",INDEX($H$26:$H201,MATCH(C201,$F$26:$F201,0)),
IF(C_MEAS="Unique_Item_Requests",INDEX($I$26:$I201,MATCH(C201,$F$26:$F201,0)),
IF(C_MEAS="Total_Item_Investigations",INDEX($J$26:$J201,MATCH(C201,$F$26:$F201,0)),
IF(C_MEAS="Unique_Item_Investigations",INDEX($K$26:$K201,MATCH(C201,$F$26:$F201,0)),
IF(C_MEAS="User",INDEX($L$26:$L201,MATCH(C201,$F$26:$F201,0))
))))))</f>
        <v>#N/A</v>
      </c>
      <c r="F201"/>
      <c r="G201"/>
      <c r="H201"/>
      <c r="I201"/>
      <c r="J201"/>
      <c r="K201"/>
      <c r="L201"/>
    </row>
    <row r="202" spans="3:12" x14ac:dyDescent="0.35">
      <c r="C202" s="9">
        <f t="array" ref="C202">_xlfn.UNIQUE(F202:F202)</f>
        <v>0</v>
      </c>
      <c r="D202" s="13" t="e">
        <f>IF(C_MEAS="Sessions",INDEX($G$26:G202,MATCH(C202,$F$26:$F202,0)),
IF(C_MEAS="Total_Item_Requests",INDEX($H$26:$H202,MATCH(C202,$F$26:$F202,0)),
IF(C_MEAS="Unique_Item_Requests",INDEX($I$26:$I202,MATCH(C202,$F$26:$F202,0)),
IF(C_MEAS="Total_Item_Investigations",INDEX($J$26:$J202,MATCH(C202,$F$26:$F202,0)),
IF(C_MEAS="Unique_Item_Investigations",INDEX($K$26:$K202,MATCH(C202,$F$26:$F202,0)),
IF(C_MEAS="User",INDEX($L$26:$L202,MATCH(C202,$F$26:$F202,0))
))))))</f>
        <v>#N/A</v>
      </c>
      <c r="F202"/>
      <c r="G202"/>
      <c r="H202"/>
      <c r="I202"/>
      <c r="J202"/>
      <c r="K202"/>
      <c r="L202"/>
    </row>
    <row r="203" spans="3:12" x14ac:dyDescent="0.35">
      <c r="C203" s="9">
        <f t="array" ref="C203">_xlfn.UNIQUE(F203:F203)</f>
        <v>0</v>
      </c>
      <c r="D203" s="13" t="e">
        <f>IF(C_MEAS="Sessions",INDEX($G$26:G203,MATCH(C203,$F$26:$F203,0)),
IF(C_MEAS="Total_Item_Requests",INDEX($H$26:$H203,MATCH(C203,$F$26:$F203,0)),
IF(C_MEAS="Unique_Item_Requests",INDEX($I$26:$I203,MATCH(C203,$F$26:$F203,0)),
IF(C_MEAS="Total_Item_Investigations",INDEX($J$26:$J203,MATCH(C203,$F$26:$F203,0)),
IF(C_MEAS="Unique_Item_Investigations",INDEX($K$26:$K203,MATCH(C203,$F$26:$F203,0)),
IF(C_MEAS="User",INDEX($L$26:$L203,MATCH(C203,$F$26:$F203,0))
))))))</f>
        <v>#N/A</v>
      </c>
      <c r="F203"/>
      <c r="G203"/>
      <c r="H203"/>
      <c r="I203"/>
      <c r="J203"/>
      <c r="K203"/>
      <c r="L203"/>
    </row>
    <row r="204" spans="3:12" x14ac:dyDescent="0.35">
      <c r="C204" s="9">
        <f t="array" ref="C204">_xlfn.UNIQUE(F204:F204)</f>
        <v>0</v>
      </c>
      <c r="D204" s="13" t="e">
        <f>IF(C_MEAS="Sessions",INDEX($G$26:G204,MATCH(C204,$F$26:$F204,0)),
IF(C_MEAS="Total_Item_Requests",INDEX($H$26:$H204,MATCH(C204,$F$26:$F204,0)),
IF(C_MEAS="Unique_Item_Requests",INDEX($I$26:$I204,MATCH(C204,$F$26:$F204,0)),
IF(C_MEAS="Total_Item_Investigations",INDEX($J$26:$J204,MATCH(C204,$F$26:$F204,0)),
IF(C_MEAS="Unique_Item_Investigations",INDEX($K$26:$K204,MATCH(C204,$F$26:$F204,0)),
IF(C_MEAS="User",INDEX($L$26:$L204,MATCH(C204,$F$26:$F204,0))
))))))</f>
        <v>#N/A</v>
      </c>
      <c r="F204"/>
      <c r="G204"/>
      <c r="H204"/>
      <c r="I204"/>
      <c r="J204"/>
      <c r="K204"/>
      <c r="L204"/>
    </row>
    <row r="205" spans="3:12" x14ac:dyDescent="0.35">
      <c r="C205" s="9">
        <f t="array" ref="C205">_xlfn.UNIQUE(F205:F205)</f>
        <v>0</v>
      </c>
      <c r="D205" s="13" t="e">
        <f>IF(C_MEAS="Sessions",INDEX($G$26:G205,MATCH(C205,$F$26:$F205,0)),
IF(C_MEAS="Total_Item_Requests",INDEX($H$26:$H205,MATCH(C205,$F$26:$F205,0)),
IF(C_MEAS="Unique_Item_Requests",INDEX($I$26:$I205,MATCH(C205,$F$26:$F205,0)),
IF(C_MEAS="Total_Item_Investigations",INDEX($J$26:$J205,MATCH(C205,$F$26:$F205,0)),
IF(C_MEAS="Unique_Item_Investigations",INDEX($K$26:$K205,MATCH(C205,$F$26:$F205,0)),
IF(C_MEAS="User",INDEX($L$26:$L205,MATCH(C205,$F$26:$F205,0))
))))))</f>
        <v>#N/A</v>
      </c>
      <c r="F205"/>
      <c r="G205"/>
      <c r="H205"/>
      <c r="I205"/>
      <c r="J205"/>
      <c r="K205"/>
      <c r="L205"/>
    </row>
    <row r="206" spans="3:12" x14ac:dyDescent="0.35">
      <c r="C206" s="9">
        <f t="array" ref="C206">_xlfn.UNIQUE(F206:F206)</f>
        <v>0</v>
      </c>
      <c r="D206" s="13" t="e">
        <f>IF(C_MEAS="Sessions",INDEX($G$26:G206,MATCH(C206,$F$26:$F206,0)),
IF(C_MEAS="Total_Item_Requests",INDEX($H$26:$H206,MATCH(C206,$F$26:$F206,0)),
IF(C_MEAS="Unique_Item_Requests",INDEX($I$26:$I206,MATCH(C206,$F$26:$F206,0)),
IF(C_MEAS="Total_Item_Investigations",INDEX($J$26:$J206,MATCH(C206,$F$26:$F206,0)),
IF(C_MEAS="Unique_Item_Investigations",INDEX($K$26:$K206,MATCH(C206,$F$26:$F206,0)),
IF(C_MEAS="User",INDEX($L$26:$L206,MATCH(C206,$F$26:$F206,0))
))))))</f>
        <v>#N/A</v>
      </c>
      <c r="F206"/>
      <c r="G206"/>
      <c r="H206"/>
      <c r="I206"/>
      <c r="J206"/>
      <c r="K206"/>
      <c r="L206"/>
    </row>
    <row r="207" spans="3:12" x14ac:dyDescent="0.35">
      <c r="C207" s="9">
        <f t="array" ref="C207">_xlfn.UNIQUE(F207:F207)</f>
        <v>0</v>
      </c>
      <c r="D207" s="13" t="e">
        <f>IF(C_MEAS="Sessions",INDEX($G$26:G207,MATCH(C207,$F$26:$F207,0)),
IF(C_MEAS="Total_Item_Requests",INDEX($H$26:$H207,MATCH(C207,$F$26:$F207,0)),
IF(C_MEAS="Unique_Item_Requests",INDEX($I$26:$I207,MATCH(C207,$F$26:$F207,0)),
IF(C_MEAS="Total_Item_Investigations",INDEX($J$26:$J207,MATCH(C207,$F$26:$F207,0)),
IF(C_MEAS="Unique_Item_Investigations",INDEX($K$26:$K207,MATCH(C207,$F$26:$F207,0)),
IF(C_MEAS="User",INDEX($L$26:$L207,MATCH(C207,$F$26:$F207,0))
))))))</f>
        <v>#N/A</v>
      </c>
      <c r="F207"/>
      <c r="G207"/>
      <c r="H207"/>
      <c r="I207"/>
      <c r="J207"/>
      <c r="K207"/>
      <c r="L207"/>
    </row>
    <row r="208" spans="3:12" x14ac:dyDescent="0.35">
      <c r="C208" s="9">
        <f t="array" ref="C208">_xlfn.UNIQUE(F208:F208)</f>
        <v>0</v>
      </c>
      <c r="D208" s="13" t="e">
        <f>IF(C_MEAS="Sessions",INDEX($G$26:G208,MATCH(C208,$F$26:$F208,0)),
IF(C_MEAS="Total_Item_Requests",INDEX($H$26:$H208,MATCH(C208,$F$26:$F208,0)),
IF(C_MEAS="Unique_Item_Requests",INDEX($I$26:$I208,MATCH(C208,$F$26:$F208,0)),
IF(C_MEAS="Total_Item_Investigations",INDEX($J$26:$J208,MATCH(C208,$F$26:$F208,0)),
IF(C_MEAS="Unique_Item_Investigations",INDEX($K$26:$K208,MATCH(C208,$F$26:$F208,0)),
IF(C_MEAS="User",INDEX($L$26:$L208,MATCH(C208,$F$26:$F208,0))
))))))</f>
        <v>#N/A</v>
      </c>
      <c r="F208"/>
      <c r="G208"/>
      <c r="H208"/>
      <c r="I208"/>
      <c r="J208"/>
      <c r="K208"/>
      <c r="L208"/>
    </row>
    <row r="209" spans="3:12" x14ac:dyDescent="0.35">
      <c r="C209" s="9">
        <f t="array" ref="C209">_xlfn.UNIQUE(F209:F209)</f>
        <v>0</v>
      </c>
      <c r="D209" s="13" t="e">
        <f>IF(C_MEAS="Sessions",INDEX($G$26:G209,MATCH(C209,$F$26:$F209,0)),
IF(C_MEAS="Total_Item_Requests",INDEX($H$26:$H209,MATCH(C209,$F$26:$F209,0)),
IF(C_MEAS="Unique_Item_Requests",INDEX($I$26:$I209,MATCH(C209,$F$26:$F209,0)),
IF(C_MEAS="Total_Item_Investigations",INDEX($J$26:$J209,MATCH(C209,$F$26:$F209,0)),
IF(C_MEAS="Unique_Item_Investigations",INDEX($K$26:$K209,MATCH(C209,$F$26:$F209,0)),
IF(C_MEAS="User",INDEX($L$26:$L209,MATCH(C209,$F$26:$F209,0))
))))))</f>
        <v>#N/A</v>
      </c>
      <c r="F209"/>
      <c r="G209"/>
      <c r="H209"/>
      <c r="I209"/>
      <c r="J209"/>
      <c r="K209"/>
      <c r="L209"/>
    </row>
    <row r="210" spans="3:12" x14ac:dyDescent="0.35">
      <c r="C210" s="9">
        <f t="array" ref="C210">_xlfn.UNIQUE(F210:F210)</f>
        <v>0</v>
      </c>
      <c r="D210" s="13" t="e">
        <f>IF(C_MEAS="Sessions",INDEX($G$26:G210,MATCH(C210,$F$26:$F210,0)),
IF(C_MEAS="Total_Item_Requests",INDEX($H$26:$H210,MATCH(C210,$F$26:$F210,0)),
IF(C_MEAS="Unique_Item_Requests",INDEX($I$26:$I210,MATCH(C210,$F$26:$F210,0)),
IF(C_MEAS="Total_Item_Investigations",INDEX($J$26:$J210,MATCH(C210,$F$26:$F210,0)),
IF(C_MEAS="Unique_Item_Investigations",INDEX($K$26:$K210,MATCH(C210,$F$26:$F210,0)),
IF(C_MEAS="User",INDEX($L$26:$L210,MATCH(C210,$F$26:$F210,0))
))))))</f>
        <v>#N/A</v>
      </c>
      <c r="F210"/>
      <c r="G210"/>
      <c r="H210"/>
      <c r="I210"/>
      <c r="J210"/>
      <c r="K210"/>
      <c r="L210"/>
    </row>
    <row r="211" spans="3:12" x14ac:dyDescent="0.35">
      <c r="C211" s="9">
        <f t="array" ref="C211">_xlfn.UNIQUE(F211:F211)</f>
        <v>0</v>
      </c>
      <c r="D211" s="13" t="e">
        <f>IF(C_MEAS="Sessions",INDEX($G$26:G211,MATCH(C211,$F$26:$F211,0)),
IF(C_MEAS="Total_Item_Requests",INDEX($H$26:$H211,MATCH(C211,$F$26:$F211,0)),
IF(C_MEAS="Unique_Item_Requests",INDEX($I$26:$I211,MATCH(C211,$F$26:$F211,0)),
IF(C_MEAS="Total_Item_Investigations",INDEX($J$26:$J211,MATCH(C211,$F$26:$F211,0)),
IF(C_MEAS="Unique_Item_Investigations",INDEX($K$26:$K211,MATCH(C211,$F$26:$F211,0)),
IF(C_MEAS="User",INDEX($L$26:$L211,MATCH(C211,$F$26:$F211,0))
))))))</f>
        <v>#N/A</v>
      </c>
      <c r="F211"/>
      <c r="G211"/>
      <c r="H211"/>
      <c r="I211"/>
      <c r="J211"/>
      <c r="K211"/>
      <c r="L211"/>
    </row>
    <row r="212" spans="3:12" x14ac:dyDescent="0.35">
      <c r="C212" s="9">
        <f t="array" ref="C212">_xlfn.UNIQUE(F212:F212)</f>
        <v>0</v>
      </c>
      <c r="D212" s="13" t="e">
        <f>IF(C_MEAS="Sessions",INDEX($G$26:G212,MATCH(C212,$F$26:$F212,0)),
IF(C_MEAS="Total_Item_Requests",INDEX($H$26:$H212,MATCH(C212,$F$26:$F212,0)),
IF(C_MEAS="Unique_Item_Requests",INDEX($I$26:$I212,MATCH(C212,$F$26:$F212,0)),
IF(C_MEAS="Total_Item_Investigations",INDEX($J$26:$J212,MATCH(C212,$F$26:$F212,0)),
IF(C_MEAS="Unique_Item_Investigations",INDEX($K$26:$K212,MATCH(C212,$F$26:$F212,0)),
IF(C_MEAS="User",INDEX($L$26:$L212,MATCH(C212,$F$26:$F212,0))
))))))</f>
        <v>#N/A</v>
      </c>
      <c r="F212"/>
      <c r="G212"/>
      <c r="H212"/>
      <c r="I212"/>
      <c r="J212"/>
      <c r="K212"/>
      <c r="L212"/>
    </row>
    <row r="213" spans="3:12" x14ac:dyDescent="0.35">
      <c r="C213" s="9">
        <f t="array" ref="C213">_xlfn.UNIQUE(F213:F213)</f>
        <v>0</v>
      </c>
      <c r="D213" s="13" t="e">
        <f>IF(C_MEAS="Sessions",INDEX($G$26:G213,MATCH(C213,$F$26:$F213,0)),
IF(C_MEAS="Total_Item_Requests",INDEX($H$26:$H213,MATCH(C213,$F$26:$F213,0)),
IF(C_MEAS="Unique_Item_Requests",INDEX($I$26:$I213,MATCH(C213,$F$26:$F213,0)),
IF(C_MEAS="Total_Item_Investigations",INDEX($J$26:$J213,MATCH(C213,$F$26:$F213,0)),
IF(C_MEAS="Unique_Item_Investigations",INDEX($K$26:$K213,MATCH(C213,$F$26:$F213,0)),
IF(C_MEAS="User",INDEX($L$26:$L213,MATCH(C213,$F$26:$F213,0))
))))))</f>
        <v>#N/A</v>
      </c>
      <c r="F213"/>
      <c r="G213"/>
      <c r="H213"/>
      <c r="I213"/>
      <c r="J213"/>
      <c r="K213"/>
      <c r="L213"/>
    </row>
    <row r="214" spans="3:12" x14ac:dyDescent="0.35">
      <c r="C214" s="9">
        <f t="array" ref="C214">_xlfn.UNIQUE(F214:F214)</f>
        <v>0</v>
      </c>
      <c r="D214" s="13" t="e">
        <f>IF(C_MEAS="Sessions",INDEX($G$26:G214,MATCH(C214,$F$26:$F214,0)),
IF(C_MEAS="Total_Item_Requests",INDEX($H$26:$H214,MATCH(C214,$F$26:$F214,0)),
IF(C_MEAS="Unique_Item_Requests",INDEX($I$26:$I214,MATCH(C214,$F$26:$F214,0)),
IF(C_MEAS="Total_Item_Investigations",INDEX($J$26:$J214,MATCH(C214,$F$26:$F214,0)),
IF(C_MEAS="Unique_Item_Investigations",INDEX($K$26:$K214,MATCH(C214,$F$26:$F214,0)),
IF(C_MEAS="User",INDEX($L$26:$L214,MATCH(C214,$F$26:$F214,0))
))))))</f>
        <v>#N/A</v>
      </c>
      <c r="F214"/>
      <c r="G214"/>
      <c r="H214"/>
      <c r="I214"/>
      <c r="J214"/>
      <c r="K214"/>
      <c r="L214"/>
    </row>
    <row r="215" spans="3:12" x14ac:dyDescent="0.35">
      <c r="C215" s="9">
        <f t="array" ref="C215">_xlfn.UNIQUE(F215:F215)</f>
        <v>0</v>
      </c>
      <c r="D215" s="13" t="e">
        <f>IF(C_MEAS="Sessions",INDEX($G$26:G215,MATCH(C215,$F$26:$F215,0)),
IF(C_MEAS="Total_Item_Requests",INDEX($H$26:$H215,MATCH(C215,$F$26:$F215,0)),
IF(C_MEAS="Unique_Item_Requests",INDEX($I$26:$I215,MATCH(C215,$F$26:$F215,0)),
IF(C_MEAS="Total_Item_Investigations",INDEX($J$26:$J215,MATCH(C215,$F$26:$F215,0)),
IF(C_MEAS="Unique_Item_Investigations",INDEX($K$26:$K215,MATCH(C215,$F$26:$F215,0)),
IF(C_MEAS="User",INDEX($L$26:$L215,MATCH(C215,$F$26:$F215,0))
))))))</f>
        <v>#N/A</v>
      </c>
      <c r="F215"/>
      <c r="G215"/>
      <c r="H215"/>
      <c r="I215"/>
      <c r="J215"/>
      <c r="K215"/>
      <c r="L215"/>
    </row>
    <row r="216" spans="3:12" x14ac:dyDescent="0.35">
      <c r="C216" s="9">
        <f t="array" ref="C216">_xlfn.UNIQUE(F216:F216)</f>
        <v>0</v>
      </c>
      <c r="D216" s="13" t="e">
        <f>IF(C_MEAS="Sessions",INDEX($G$26:G216,MATCH(C216,$F$26:$F216,0)),
IF(C_MEAS="Total_Item_Requests",INDEX($H$26:$H216,MATCH(C216,$F$26:$F216,0)),
IF(C_MEAS="Unique_Item_Requests",INDEX($I$26:$I216,MATCH(C216,$F$26:$F216,0)),
IF(C_MEAS="Total_Item_Investigations",INDEX($J$26:$J216,MATCH(C216,$F$26:$F216,0)),
IF(C_MEAS="Unique_Item_Investigations",INDEX($K$26:$K216,MATCH(C216,$F$26:$F216,0)),
IF(C_MEAS="User",INDEX($L$26:$L216,MATCH(C216,$F$26:$F216,0))
))))))</f>
        <v>#N/A</v>
      </c>
      <c r="F216"/>
      <c r="G216"/>
      <c r="H216"/>
      <c r="I216"/>
      <c r="J216"/>
      <c r="K216"/>
      <c r="L216"/>
    </row>
    <row r="217" spans="3:12" x14ac:dyDescent="0.35">
      <c r="C217" s="9">
        <f t="array" ref="C217">_xlfn.UNIQUE(F217:F217)</f>
        <v>0</v>
      </c>
      <c r="D217" s="13" t="e">
        <f>IF(C_MEAS="Sessions",INDEX($G$26:G217,MATCH(C217,$F$26:$F217,0)),
IF(C_MEAS="Total_Item_Requests",INDEX($H$26:$H217,MATCH(C217,$F$26:$F217,0)),
IF(C_MEAS="Unique_Item_Requests",INDEX($I$26:$I217,MATCH(C217,$F$26:$F217,0)),
IF(C_MEAS="Total_Item_Investigations",INDEX($J$26:$J217,MATCH(C217,$F$26:$F217,0)),
IF(C_MEAS="Unique_Item_Investigations",INDEX($K$26:$K217,MATCH(C217,$F$26:$F217,0)),
IF(C_MEAS="User",INDEX($L$26:$L217,MATCH(C217,$F$26:$F217,0))
))))))</f>
        <v>#N/A</v>
      </c>
      <c r="F217"/>
      <c r="G217"/>
      <c r="H217"/>
      <c r="I217"/>
      <c r="J217"/>
      <c r="K217"/>
      <c r="L217"/>
    </row>
    <row r="218" spans="3:12" x14ac:dyDescent="0.35">
      <c r="C218" s="9">
        <f t="array" ref="C218">_xlfn.UNIQUE(F218:F218)</f>
        <v>0</v>
      </c>
      <c r="D218" s="13" t="e">
        <f>IF(C_MEAS="Sessions",INDEX($G$26:G218,MATCH(C218,$F$26:$F218,0)),
IF(C_MEAS="Total_Item_Requests",INDEX($H$26:$H218,MATCH(C218,$F$26:$F218,0)),
IF(C_MEAS="Unique_Item_Requests",INDEX($I$26:$I218,MATCH(C218,$F$26:$F218,0)),
IF(C_MEAS="Total_Item_Investigations",INDEX($J$26:$J218,MATCH(C218,$F$26:$F218,0)),
IF(C_MEAS="Unique_Item_Investigations",INDEX($K$26:$K218,MATCH(C218,$F$26:$F218,0)),
IF(C_MEAS="User",INDEX($L$26:$L218,MATCH(C218,$F$26:$F218,0))
))))))</f>
        <v>#N/A</v>
      </c>
      <c r="F218"/>
      <c r="G218"/>
      <c r="H218"/>
      <c r="I218"/>
      <c r="J218"/>
      <c r="K218"/>
      <c r="L218"/>
    </row>
    <row r="219" spans="3:12" x14ac:dyDescent="0.35">
      <c r="C219" s="9">
        <f t="array" ref="C219">_xlfn.UNIQUE(F219:F219)</f>
        <v>0</v>
      </c>
      <c r="D219" s="13" t="e">
        <f>IF(C_MEAS="Sessions",INDEX($G$26:G219,MATCH(C219,$F$26:$F219,0)),
IF(C_MEAS="Total_Item_Requests",INDEX($H$26:$H219,MATCH(C219,$F$26:$F219,0)),
IF(C_MEAS="Unique_Item_Requests",INDEX($I$26:$I219,MATCH(C219,$F$26:$F219,0)),
IF(C_MEAS="Total_Item_Investigations",INDEX($J$26:$J219,MATCH(C219,$F$26:$F219,0)),
IF(C_MEAS="Unique_Item_Investigations",INDEX($K$26:$K219,MATCH(C219,$F$26:$F219,0)),
IF(C_MEAS="User",INDEX($L$26:$L219,MATCH(C219,$F$26:$F219,0))
))))))</f>
        <v>#N/A</v>
      </c>
      <c r="F219"/>
      <c r="G219"/>
      <c r="H219"/>
      <c r="I219"/>
      <c r="J219"/>
      <c r="K219"/>
      <c r="L219"/>
    </row>
    <row r="220" spans="3:12" x14ac:dyDescent="0.35">
      <c r="C220" s="9">
        <f t="array" ref="C220">_xlfn.UNIQUE(F220:F220)</f>
        <v>0</v>
      </c>
      <c r="D220" s="13" t="e">
        <f>IF(C_MEAS="Sessions",INDEX($G$26:G220,MATCH(C220,$F$26:$F220,0)),
IF(C_MEAS="Total_Item_Requests",INDEX($H$26:$H220,MATCH(C220,$F$26:$F220,0)),
IF(C_MEAS="Unique_Item_Requests",INDEX($I$26:$I220,MATCH(C220,$F$26:$F220,0)),
IF(C_MEAS="Total_Item_Investigations",INDEX($J$26:$J220,MATCH(C220,$F$26:$F220,0)),
IF(C_MEAS="Unique_Item_Investigations",INDEX($K$26:$K220,MATCH(C220,$F$26:$F220,0)),
IF(C_MEAS="User",INDEX($L$26:$L220,MATCH(C220,$F$26:$F220,0))
))))))</f>
        <v>#N/A</v>
      </c>
      <c r="F220"/>
      <c r="G220"/>
      <c r="H220"/>
      <c r="I220"/>
      <c r="J220"/>
      <c r="K220"/>
      <c r="L220"/>
    </row>
    <row r="221" spans="3:12" x14ac:dyDescent="0.35">
      <c r="C221" s="9">
        <f t="array" ref="C221">_xlfn.UNIQUE(F221:F221)</f>
        <v>0</v>
      </c>
      <c r="D221" s="13" t="e">
        <f>IF(C_MEAS="Sessions",INDEX($G$26:G221,MATCH(C221,$F$26:$F221,0)),
IF(C_MEAS="Total_Item_Requests",INDEX($H$26:$H221,MATCH(C221,$F$26:$F221,0)),
IF(C_MEAS="Unique_Item_Requests",INDEX($I$26:$I221,MATCH(C221,$F$26:$F221,0)),
IF(C_MEAS="Total_Item_Investigations",INDEX($J$26:$J221,MATCH(C221,$F$26:$F221,0)),
IF(C_MEAS="Unique_Item_Investigations",INDEX($K$26:$K221,MATCH(C221,$F$26:$F221,0)),
IF(C_MEAS="User",INDEX($L$26:$L221,MATCH(C221,$F$26:$F221,0))
))))))</f>
        <v>#N/A</v>
      </c>
      <c r="F221"/>
      <c r="G221"/>
      <c r="H221"/>
      <c r="I221"/>
      <c r="J221"/>
      <c r="K221"/>
      <c r="L221"/>
    </row>
    <row r="222" spans="3:12" x14ac:dyDescent="0.35">
      <c r="C222" s="9">
        <f t="array" ref="C222">_xlfn.UNIQUE(F222:F222)</f>
        <v>0</v>
      </c>
      <c r="D222" s="13" t="e">
        <f>IF(C_MEAS="Sessions",INDEX($G$26:G222,MATCH(C222,$F$26:$F222,0)),
IF(C_MEAS="Total_Item_Requests",INDEX($H$26:$H222,MATCH(C222,$F$26:$F222,0)),
IF(C_MEAS="Unique_Item_Requests",INDEX($I$26:$I222,MATCH(C222,$F$26:$F222,0)),
IF(C_MEAS="Total_Item_Investigations",INDEX($J$26:$J222,MATCH(C222,$F$26:$F222,0)),
IF(C_MEAS="Unique_Item_Investigations",INDEX($K$26:$K222,MATCH(C222,$F$26:$F222,0)),
IF(C_MEAS="User",INDEX($L$26:$L222,MATCH(C222,$F$26:$F222,0))
))))))</f>
        <v>#N/A</v>
      </c>
      <c r="F222"/>
      <c r="G222"/>
      <c r="H222"/>
      <c r="I222"/>
      <c r="J222"/>
      <c r="K222"/>
      <c r="L222"/>
    </row>
    <row r="223" spans="3:12" x14ac:dyDescent="0.35">
      <c r="C223" s="9">
        <f t="array" ref="C223">_xlfn.UNIQUE(F223:F223)</f>
        <v>0</v>
      </c>
      <c r="D223" s="13" t="e">
        <f>IF(C_MEAS="Sessions",INDEX($G$26:G223,MATCH(C223,$F$26:$F223,0)),
IF(C_MEAS="Total_Item_Requests",INDEX($H$26:$H223,MATCH(C223,$F$26:$F223,0)),
IF(C_MEAS="Unique_Item_Requests",INDEX($I$26:$I223,MATCH(C223,$F$26:$F223,0)),
IF(C_MEAS="Total_Item_Investigations",INDEX($J$26:$J223,MATCH(C223,$F$26:$F223,0)),
IF(C_MEAS="Unique_Item_Investigations",INDEX($K$26:$K223,MATCH(C223,$F$26:$F223,0)),
IF(C_MEAS="User",INDEX($L$26:$L223,MATCH(C223,$F$26:$F223,0))
))))))</f>
        <v>#N/A</v>
      </c>
      <c r="F223"/>
      <c r="G223"/>
      <c r="H223"/>
      <c r="I223"/>
      <c r="J223"/>
      <c r="K223"/>
      <c r="L223"/>
    </row>
    <row r="224" spans="3:12" x14ac:dyDescent="0.35">
      <c r="C224" s="9">
        <f t="array" ref="C224">_xlfn.UNIQUE(F224:F224)</f>
        <v>0</v>
      </c>
      <c r="D224" s="13" t="e">
        <f>IF(C_MEAS="Sessions",INDEX($G$26:G224,MATCH(C224,$F$26:$F224,0)),
IF(C_MEAS="Total_Item_Requests",INDEX($H$26:$H224,MATCH(C224,$F$26:$F224,0)),
IF(C_MEAS="Unique_Item_Requests",INDEX($I$26:$I224,MATCH(C224,$F$26:$F224,0)),
IF(C_MEAS="Total_Item_Investigations",INDEX($J$26:$J224,MATCH(C224,$F$26:$F224,0)),
IF(C_MEAS="Unique_Item_Investigations",INDEX($K$26:$K224,MATCH(C224,$F$26:$F224,0)),
IF(C_MEAS="User",INDEX($L$26:$L224,MATCH(C224,$F$26:$F224,0))
))))))</f>
        <v>#N/A</v>
      </c>
      <c r="F224"/>
      <c r="G224"/>
      <c r="H224"/>
      <c r="I224"/>
      <c r="J224"/>
      <c r="K224"/>
      <c r="L224"/>
    </row>
    <row r="225" spans="3:12" x14ac:dyDescent="0.35">
      <c r="C225" s="9">
        <f t="array" ref="C225">_xlfn.UNIQUE(F225:F225)</f>
        <v>0</v>
      </c>
      <c r="D225" s="13" t="e">
        <f>IF(C_MEAS="Sessions",INDEX($G$26:G225,MATCH(C225,$F$26:$F225,0)),
IF(C_MEAS="Total_Item_Requests",INDEX($H$26:$H225,MATCH(C225,$F$26:$F225,0)),
IF(C_MEAS="Unique_Item_Requests",INDEX($I$26:$I225,MATCH(C225,$F$26:$F225,0)),
IF(C_MEAS="Total_Item_Investigations",INDEX($J$26:$J225,MATCH(C225,$F$26:$F225,0)),
IF(C_MEAS="Unique_Item_Investigations",INDEX($K$26:$K225,MATCH(C225,$F$26:$F225,0)),
IF(C_MEAS="User",INDEX($L$26:$L225,MATCH(C225,$F$26:$F225,0))
))))))</f>
        <v>#N/A</v>
      </c>
      <c r="F225"/>
      <c r="G225"/>
      <c r="H225"/>
      <c r="I225"/>
      <c r="J225"/>
      <c r="K225"/>
      <c r="L225"/>
    </row>
    <row r="226" spans="3:12" x14ac:dyDescent="0.35">
      <c r="C226" s="9">
        <f t="array" ref="C226">_xlfn.UNIQUE(F226:F226)</f>
        <v>0</v>
      </c>
      <c r="D226" s="13" t="e">
        <f>IF(C_MEAS="Sessions",INDEX($G$26:G226,MATCH(C226,$F$26:$F226,0)),
IF(C_MEAS="Total_Item_Requests",INDEX($H$26:$H226,MATCH(C226,$F$26:$F226,0)),
IF(C_MEAS="Unique_Item_Requests",INDEX($I$26:$I226,MATCH(C226,$F$26:$F226,0)),
IF(C_MEAS="Total_Item_Investigations",INDEX($J$26:$J226,MATCH(C226,$F$26:$F226,0)),
IF(C_MEAS="Unique_Item_Investigations",INDEX($K$26:$K226,MATCH(C226,$F$26:$F226,0)),
IF(C_MEAS="User",INDEX($L$26:$L226,MATCH(C226,$F$26:$F226,0))
))))))</f>
        <v>#N/A</v>
      </c>
      <c r="F226"/>
      <c r="G226"/>
      <c r="H226"/>
      <c r="I226"/>
      <c r="J226"/>
      <c r="K226"/>
      <c r="L226"/>
    </row>
    <row r="227" spans="3:12" x14ac:dyDescent="0.35">
      <c r="C227" s="9">
        <f t="array" ref="C227">_xlfn.UNIQUE(F227:F227)</f>
        <v>0</v>
      </c>
      <c r="D227" s="13" t="e">
        <f>IF(C_MEAS="Sessions",INDEX($G$26:G227,MATCH(C227,$F$26:$F227,0)),
IF(C_MEAS="Total_Item_Requests",INDEX($H$26:$H227,MATCH(C227,$F$26:$F227,0)),
IF(C_MEAS="Unique_Item_Requests",INDEX($I$26:$I227,MATCH(C227,$F$26:$F227,0)),
IF(C_MEAS="Total_Item_Investigations",INDEX($J$26:$J227,MATCH(C227,$F$26:$F227,0)),
IF(C_MEAS="Unique_Item_Investigations",INDEX($K$26:$K227,MATCH(C227,$F$26:$F227,0)),
IF(C_MEAS="User",INDEX($L$26:$L227,MATCH(C227,$F$26:$F227,0))
))))))</f>
        <v>#N/A</v>
      </c>
      <c r="F227"/>
      <c r="G227"/>
      <c r="H227"/>
      <c r="I227"/>
      <c r="J227"/>
      <c r="K227"/>
      <c r="L227"/>
    </row>
    <row r="228" spans="3:12" x14ac:dyDescent="0.35">
      <c r="C228" s="9">
        <f t="array" ref="C228">_xlfn.UNIQUE(F228:F228)</f>
        <v>0</v>
      </c>
      <c r="D228" s="13" t="e">
        <f>IF(C_MEAS="Sessions",INDEX($G$26:G228,MATCH(C228,$F$26:$F228,0)),
IF(C_MEAS="Total_Item_Requests",INDEX($H$26:$H228,MATCH(C228,$F$26:$F228,0)),
IF(C_MEAS="Unique_Item_Requests",INDEX($I$26:$I228,MATCH(C228,$F$26:$F228,0)),
IF(C_MEAS="Total_Item_Investigations",INDEX($J$26:$J228,MATCH(C228,$F$26:$F228,0)),
IF(C_MEAS="Unique_Item_Investigations",INDEX($K$26:$K228,MATCH(C228,$F$26:$F228,0)),
IF(C_MEAS="User",INDEX($L$26:$L228,MATCH(C228,$F$26:$F228,0))
))))))</f>
        <v>#N/A</v>
      </c>
      <c r="F228"/>
      <c r="G228"/>
      <c r="H228"/>
      <c r="I228"/>
      <c r="J228"/>
      <c r="K228"/>
      <c r="L228"/>
    </row>
    <row r="229" spans="3:12" x14ac:dyDescent="0.35">
      <c r="C229" s="9">
        <f t="array" ref="C229">_xlfn.UNIQUE(F229:F229)</f>
        <v>0</v>
      </c>
      <c r="D229" s="13" t="e">
        <f>IF(C_MEAS="Sessions",INDEX($G$26:G229,MATCH(C229,$F$26:$F229,0)),
IF(C_MEAS="Total_Item_Requests",INDEX($H$26:$H229,MATCH(C229,$F$26:$F229,0)),
IF(C_MEAS="Unique_Item_Requests",INDEX($I$26:$I229,MATCH(C229,$F$26:$F229,0)),
IF(C_MEAS="Total_Item_Investigations",INDEX($J$26:$J229,MATCH(C229,$F$26:$F229,0)),
IF(C_MEAS="Unique_Item_Investigations",INDEX($K$26:$K229,MATCH(C229,$F$26:$F229,0)),
IF(C_MEAS="User",INDEX($L$26:$L229,MATCH(C229,$F$26:$F229,0))
))))))</f>
        <v>#N/A</v>
      </c>
      <c r="F229"/>
      <c r="G229"/>
      <c r="H229"/>
      <c r="I229"/>
      <c r="J229"/>
      <c r="K229"/>
      <c r="L229"/>
    </row>
    <row r="230" spans="3:12" x14ac:dyDescent="0.35">
      <c r="C230" s="9">
        <f t="array" ref="C230">_xlfn.UNIQUE(F230:F230)</f>
        <v>0</v>
      </c>
      <c r="D230" s="13" t="e">
        <f>IF(C_MEAS="Sessions",INDEX($G$26:G230,MATCH(C230,$F$26:$F230,0)),
IF(C_MEAS="Total_Item_Requests",INDEX($H$26:$H230,MATCH(C230,$F$26:$F230,0)),
IF(C_MEAS="Unique_Item_Requests",INDEX($I$26:$I230,MATCH(C230,$F$26:$F230,0)),
IF(C_MEAS="Total_Item_Investigations",INDEX($J$26:$J230,MATCH(C230,$F$26:$F230,0)),
IF(C_MEAS="Unique_Item_Investigations",INDEX($K$26:$K230,MATCH(C230,$F$26:$F230,0)),
IF(C_MEAS="User",INDEX($L$26:$L230,MATCH(C230,$F$26:$F230,0))
))))))</f>
        <v>#N/A</v>
      </c>
      <c r="F230"/>
      <c r="G230"/>
      <c r="H230"/>
      <c r="I230"/>
      <c r="J230"/>
      <c r="K230"/>
      <c r="L230"/>
    </row>
    <row r="231" spans="3:12" x14ac:dyDescent="0.35">
      <c r="C231" s="9">
        <f t="array" ref="C231">_xlfn.UNIQUE(F231:F231)</f>
        <v>0</v>
      </c>
      <c r="D231" s="13" t="e">
        <f>IF(C_MEAS="Sessions",INDEX($G$26:G231,MATCH(C231,$F$26:$F231,0)),
IF(C_MEAS="Total_Item_Requests",INDEX($H$26:$H231,MATCH(C231,$F$26:$F231,0)),
IF(C_MEAS="Unique_Item_Requests",INDEX($I$26:$I231,MATCH(C231,$F$26:$F231,0)),
IF(C_MEAS="Total_Item_Investigations",INDEX($J$26:$J231,MATCH(C231,$F$26:$F231,0)),
IF(C_MEAS="Unique_Item_Investigations",INDEX($K$26:$K231,MATCH(C231,$F$26:$F231,0)),
IF(C_MEAS="User",INDEX($L$26:$L231,MATCH(C231,$F$26:$F231,0))
))))))</f>
        <v>#N/A</v>
      </c>
      <c r="F231"/>
      <c r="G231"/>
      <c r="H231"/>
      <c r="I231"/>
      <c r="J231"/>
      <c r="K231"/>
      <c r="L231"/>
    </row>
    <row r="232" spans="3:12" x14ac:dyDescent="0.35">
      <c r="C232" s="9">
        <f t="array" ref="C232">_xlfn.UNIQUE(F232:F232)</f>
        <v>0</v>
      </c>
      <c r="D232" s="13" t="e">
        <f>IF(C_MEAS="Sessions",INDEX($G$26:G232,MATCH(C232,$F$26:$F232,0)),
IF(C_MEAS="Total_Item_Requests",INDEX($H$26:$H232,MATCH(C232,$F$26:$F232,0)),
IF(C_MEAS="Unique_Item_Requests",INDEX($I$26:$I232,MATCH(C232,$F$26:$F232,0)),
IF(C_MEAS="Total_Item_Investigations",INDEX($J$26:$J232,MATCH(C232,$F$26:$F232,0)),
IF(C_MEAS="Unique_Item_Investigations",INDEX($K$26:$K232,MATCH(C232,$F$26:$F232,0)),
IF(C_MEAS="User",INDEX($L$26:$L232,MATCH(C232,$F$26:$F232,0))
))))))</f>
        <v>#N/A</v>
      </c>
      <c r="F232"/>
      <c r="G232"/>
      <c r="H232"/>
      <c r="I232"/>
      <c r="J232"/>
      <c r="K232"/>
      <c r="L232"/>
    </row>
    <row r="233" spans="3:12" x14ac:dyDescent="0.35">
      <c r="C233" s="9">
        <f t="array" ref="C233">_xlfn.UNIQUE(F233:F233)</f>
        <v>0</v>
      </c>
      <c r="D233" s="13" t="e">
        <f>IF(C_MEAS="Sessions",INDEX($G$26:G233,MATCH(C233,$F$26:$F233,0)),
IF(C_MEAS="Total_Item_Requests",INDEX($H$26:$H233,MATCH(C233,$F$26:$F233,0)),
IF(C_MEAS="Unique_Item_Requests",INDEX($I$26:$I233,MATCH(C233,$F$26:$F233,0)),
IF(C_MEAS="Total_Item_Investigations",INDEX($J$26:$J233,MATCH(C233,$F$26:$F233,0)),
IF(C_MEAS="Unique_Item_Investigations",INDEX($K$26:$K233,MATCH(C233,$F$26:$F233,0)),
IF(C_MEAS="User",INDEX($L$26:$L233,MATCH(C233,$F$26:$F233,0))
))))))</f>
        <v>#N/A</v>
      </c>
      <c r="F233"/>
      <c r="G233"/>
      <c r="H233"/>
      <c r="I233"/>
      <c r="J233"/>
      <c r="K233"/>
      <c r="L233"/>
    </row>
    <row r="234" spans="3:12" x14ac:dyDescent="0.35">
      <c r="C234" s="9">
        <f t="array" ref="C234">_xlfn.UNIQUE(F234:F234)</f>
        <v>0</v>
      </c>
      <c r="D234" s="13" t="e">
        <f>IF(C_MEAS="Sessions",INDEX($G$26:G234,MATCH(C234,$F$26:$F234,0)),
IF(C_MEAS="Total_Item_Requests",INDEX($H$26:$H234,MATCH(C234,$F$26:$F234,0)),
IF(C_MEAS="Unique_Item_Requests",INDEX($I$26:$I234,MATCH(C234,$F$26:$F234,0)),
IF(C_MEAS="Total_Item_Investigations",INDEX($J$26:$J234,MATCH(C234,$F$26:$F234,0)),
IF(C_MEAS="Unique_Item_Investigations",INDEX($K$26:$K234,MATCH(C234,$F$26:$F234,0)),
IF(C_MEAS="User",INDEX($L$26:$L234,MATCH(C234,$F$26:$F234,0))
))))))</f>
        <v>#N/A</v>
      </c>
      <c r="F234"/>
      <c r="G234"/>
      <c r="H234"/>
      <c r="I234"/>
      <c r="J234"/>
      <c r="K234"/>
      <c r="L234"/>
    </row>
    <row r="235" spans="3:12" x14ac:dyDescent="0.35">
      <c r="C235" s="9">
        <f t="array" ref="C235">_xlfn.UNIQUE(F235:F235)</f>
        <v>0</v>
      </c>
      <c r="D235" s="13" t="e">
        <f>IF(C_MEAS="Sessions",INDEX($G$26:G235,MATCH(C235,$F$26:$F235,0)),
IF(C_MEAS="Total_Item_Requests",INDEX($H$26:$H235,MATCH(C235,$F$26:$F235,0)),
IF(C_MEAS="Unique_Item_Requests",INDEX($I$26:$I235,MATCH(C235,$F$26:$F235,0)),
IF(C_MEAS="Total_Item_Investigations",INDEX($J$26:$J235,MATCH(C235,$F$26:$F235,0)),
IF(C_MEAS="Unique_Item_Investigations",INDEX($K$26:$K235,MATCH(C235,$F$26:$F235,0)),
IF(C_MEAS="User",INDEX($L$26:$L235,MATCH(C235,$F$26:$F235,0))
))))))</f>
        <v>#N/A</v>
      </c>
      <c r="F235"/>
      <c r="G235"/>
      <c r="H235"/>
      <c r="I235"/>
      <c r="J235"/>
      <c r="K235"/>
      <c r="L235"/>
    </row>
    <row r="236" spans="3:12" x14ac:dyDescent="0.35">
      <c r="C236" s="9">
        <f t="array" ref="C236">_xlfn.UNIQUE(F236:F236)</f>
        <v>0</v>
      </c>
      <c r="D236" s="13" t="e">
        <f>IF(C_MEAS="Sessions",INDEX($G$26:G236,MATCH(C236,$F$26:$F236,0)),
IF(C_MEAS="Total_Item_Requests",INDEX($H$26:$H236,MATCH(C236,$F$26:$F236,0)),
IF(C_MEAS="Unique_Item_Requests",INDEX($I$26:$I236,MATCH(C236,$F$26:$F236,0)),
IF(C_MEAS="Total_Item_Investigations",INDEX($J$26:$J236,MATCH(C236,$F$26:$F236,0)),
IF(C_MEAS="Unique_Item_Investigations",INDEX($K$26:$K236,MATCH(C236,$F$26:$F236,0)),
IF(C_MEAS="User",INDEX($L$26:$L236,MATCH(C236,$F$26:$F236,0))
))))))</f>
        <v>#N/A</v>
      </c>
      <c r="F236"/>
      <c r="G236"/>
      <c r="H236"/>
      <c r="I236"/>
      <c r="J236"/>
      <c r="K236"/>
      <c r="L236"/>
    </row>
    <row r="237" spans="3:12" x14ac:dyDescent="0.35">
      <c r="C237" s="9">
        <f t="array" ref="C237">_xlfn.UNIQUE(F237:F237)</f>
        <v>0</v>
      </c>
      <c r="D237" s="13" t="e">
        <f>IF(C_MEAS="Sessions",INDEX($G$26:G237,MATCH(C237,$F$26:$F237,0)),
IF(C_MEAS="Total_Item_Requests",INDEX($H$26:$H237,MATCH(C237,$F$26:$F237,0)),
IF(C_MEAS="Unique_Item_Requests",INDEX($I$26:$I237,MATCH(C237,$F$26:$F237,0)),
IF(C_MEAS="Total_Item_Investigations",INDEX($J$26:$J237,MATCH(C237,$F$26:$F237,0)),
IF(C_MEAS="Unique_Item_Investigations",INDEX($K$26:$K237,MATCH(C237,$F$26:$F237,0)),
IF(C_MEAS="User",INDEX($L$26:$L237,MATCH(C237,$F$26:$F237,0))
))))))</f>
        <v>#N/A</v>
      </c>
      <c r="F237"/>
      <c r="G237"/>
      <c r="H237"/>
      <c r="I237"/>
      <c r="J237"/>
      <c r="K237"/>
      <c r="L237"/>
    </row>
    <row r="238" spans="3:12" x14ac:dyDescent="0.35">
      <c r="C238" s="9">
        <f t="array" ref="C238">_xlfn.UNIQUE(F238:F238)</f>
        <v>0</v>
      </c>
      <c r="D238" s="13" t="e">
        <f>IF(C_MEAS="Sessions",INDEX($G$26:G238,MATCH(C238,$F$26:$F238,0)),
IF(C_MEAS="Total_Item_Requests",INDEX($H$26:$H238,MATCH(C238,$F$26:$F238,0)),
IF(C_MEAS="Unique_Item_Requests",INDEX($I$26:$I238,MATCH(C238,$F$26:$F238,0)),
IF(C_MEAS="Total_Item_Investigations",INDEX($J$26:$J238,MATCH(C238,$F$26:$F238,0)),
IF(C_MEAS="Unique_Item_Investigations",INDEX($K$26:$K238,MATCH(C238,$F$26:$F238,0)),
IF(C_MEAS="User",INDEX($L$26:$L238,MATCH(C238,$F$26:$F238,0))
))))))</f>
        <v>#N/A</v>
      </c>
      <c r="F238"/>
      <c r="G238"/>
      <c r="H238"/>
      <c r="I238"/>
      <c r="J238"/>
      <c r="K238"/>
      <c r="L238"/>
    </row>
    <row r="239" spans="3:12" x14ac:dyDescent="0.35">
      <c r="C239" s="9">
        <f t="array" ref="C239">_xlfn.UNIQUE(F239:F239)</f>
        <v>0</v>
      </c>
      <c r="D239" s="13" t="e">
        <f>IF(C_MEAS="Sessions",INDEX($G$26:G239,MATCH(C239,$F$26:$F239,0)),
IF(C_MEAS="Total_Item_Requests",INDEX($H$26:$H239,MATCH(C239,$F$26:$F239,0)),
IF(C_MEAS="Unique_Item_Requests",INDEX($I$26:$I239,MATCH(C239,$F$26:$F239,0)),
IF(C_MEAS="Total_Item_Investigations",INDEX($J$26:$J239,MATCH(C239,$F$26:$F239,0)),
IF(C_MEAS="Unique_Item_Investigations",INDEX($K$26:$K239,MATCH(C239,$F$26:$F239,0)),
IF(C_MEAS="User",INDEX($L$26:$L239,MATCH(C239,$F$26:$F239,0))
))))))</f>
        <v>#N/A</v>
      </c>
      <c r="F239"/>
      <c r="G239"/>
      <c r="H239"/>
      <c r="I239"/>
      <c r="J239"/>
      <c r="K239"/>
      <c r="L239"/>
    </row>
    <row r="240" spans="3:12" x14ac:dyDescent="0.35">
      <c r="C240" s="9">
        <f t="array" ref="C240">_xlfn.UNIQUE(F240:F240)</f>
        <v>0</v>
      </c>
      <c r="D240" s="13" t="e">
        <f>IF(C_MEAS="Sessions",INDEX($G$26:G240,MATCH(C240,$F$26:$F240,0)),
IF(C_MEAS="Total_Item_Requests",INDEX($H$26:$H240,MATCH(C240,$F$26:$F240,0)),
IF(C_MEAS="Unique_Item_Requests",INDEX($I$26:$I240,MATCH(C240,$F$26:$F240,0)),
IF(C_MEAS="Total_Item_Investigations",INDEX($J$26:$J240,MATCH(C240,$F$26:$F240,0)),
IF(C_MEAS="Unique_Item_Investigations",INDEX($K$26:$K240,MATCH(C240,$F$26:$F240,0)),
IF(C_MEAS="User",INDEX($L$26:$L240,MATCH(C240,$F$26:$F240,0))
))))))</f>
        <v>#N/A</v>
      </c>
      <c r="F240"/>
      <c r="G240"/>
      <c r="H240"/>
      <c r="I240"/>
      <c r="J240"/>
      <c r="K240"/>
      <c r="L240"/>
    </row>
    <row r="241" spans="3:12" x14ac:dyDescent="0.35">
      <c r="C241" s="9">
        <f t="array" ref="C241">_xlfn.UNIQUE(F241:F241)</f>
        <v>0</v>
      </c>
      <c r="D241" s="13" t="e">
        <f>IF(C_MEAS="Sessions",INDEX($G$26:G241,MATCH(C241,$F$26:$F241,0)),
IF(C_MEAS="Total_Item_Requests",INDEX($H$26:$H241,MATCH(C241,$F$26:$F241,0)),
IF(C_MEAS="Unique_Item_Requests",INDEX($I$26:$I241,MATCH(C241,$F$26:$F241,0)),
IF(C_MEAS="Total_Item_Investigations",INDEX($J$26:$J241,MATCH(C241,$F$26:$F241,0)),
IF(C_MEAS="Unique_Item_Investigations",INDEX($K$26:$K241,MATCH(C241,$F$26:$F241,0)),
IF(C_MEAS="User",INDEX($L$26:$L241,MATCH(C241,$F$26:$F241,0))
))))))</f>
        <v>#N/A</v>
      </c>
      <c r="F241"/>
      <c r="G241"/>
      <c r="H241"/>
      <c r="I241"/>
      <c r="J241"/>
      <c r="K241"/>
      <c r="L241"/>
    </row>
    <row r="242" spans="3:12" x14ac:dyDescent="0.35">
      <c r="C242" s="9">
        <f t="array" ref="C242">_xlfn.UNIQUE(F242:F242)</f>
        <v>0</v>
      </c>
      <c r="D242" s="13" t="e">
        <f>IF(C_MEAS="Sessions",INDEX($G$26:G242,MATCH(C242,$F$26:$F242,0)),
IF(C_MEAS="Total_Item_Requests",INDEX($H$26:$H242,MATCH(C242,$F$26:$F242,0)),
IF(C_MEAS="Unique_Item_Requests",INDEX($I$26:$I242,MATCH(C242,$F$26:$F242,0)),
IF(C_MEAS="Total_Item_Investigations",INDEX($J$26:$J242,MATCH(C242,$F$26:$F242,0)),
IF(C_MEAS="Unique_Item_Investigations",INDEX($K$26:$K242,MATCH(C242,$F$26:$F242,0)),
IF(C_MEAS="User",INDEX($L$26:$L242,MATCH(C242,$F$26:$F242,0))
))))))</f>
        <v>#N/A</v>
      </c>
      <c r="F242"/>
      <c r="G242"/>
      <c r="H242"/>
      <c r="I242"/>
      <c r="J242"/>
      <c r="K242"/>
      <c r="L242"/>
    </row>
    <row r="243" spans="3:12" x14ac:dyDescent="0.35">
      <c r="C243" s="9">
        <f t="array" ref="C243">_xlfn.UNIQUE(F243:F243)</f>
        <v>0</v>
      </c>
      <c r="D243" s="13" t="e">
        <f>IF(C_MEAS="Sessions",INDEX($G$26:G243,MATCH(C243,$F$26:$F243,0)),
IF(C_MEAS="Total_Item_Requests",INDEX($H$26:$H243,MATCH(C243,$F$26:$F243,0)),
IF(C_MEAS="Unique_Item_Requests",INDEX($I$26:$I243,MATCH(C243,$F$26:$F243,0)),
IF(C_MEAS="Total_Item_Investigations",INDEX($J$26:$J243,MATCH(C243,$F$26:$F243,0)),
IF(C_MEAS="Unique_Item_Investigations",INDEX($K$26:$K243,MATCH(C243,$F$26:$F243,0)),
IF(C_MEAS="User",INDEX($L$26:$L243,MATCH(C243,$F$26:$F243,0))
))))))</f>
        <v>#N/A</v>
      </c>
      <c r="F243"/>
      <c r="G243"/>
      <c r="H243"/>
      <c r="I243"/>
      <c r="J243"/>
      <c r="K243"/>
      <c r="L243"/>
    </row>
    <row r="244" spans="3:12" x14ac:dyDescent="0.35">
      <c r="C244" s="9">
        <f t="array" ref="C244">_xlfn.UNIQUE(F244:F244)</f>
        <v>0</v>
      </c>
      <c r="D244" s="13" t="e">
        <f>IF(C_MEAS="Sessions",INDEX($G$26:G244,MATCH(C244,$F$26:$F244,0)),
IF(C_MEAS="Total_Item_Requests",INDEX($H$26:$H244,MATCH(C244,$F$26:$F244,0)),
IF(C_MEAS="Unique_Item_Requests",INDEX($I$26:$I244,MATCH(C244,$F$26:$F244,0)),
IF(C_MEAS="Total_Item_Investigations",INDEX($J$26:$J244,MATCH(C244,$F$26:$F244,0)),
IF(C_MEAS="Unique_Item_Investigations",INDEX($K$26:$K244,MATCH(C244,$F$26:$F244,0)),
IF(C_MEAS="User",INDEX($L$26:$L244,MATCH(C244,$F$26:$F244,0))
))))))</f>
        <v>#N/A</v>
      </c>
      <c r="F244"/>
      <c r="G244"/>
      <c r="H244"/>
      <c r="I244"/>
      <c r="J244"/>
      <c r="K244"/>
      <c r="L244"/>
    </row>
    <row r="245" spans="3:12" x14ac:dyDescent="0.35">
      <c r="C245" s="9">
        <f t="array" ref="C245">_xlfn.UNIQUE(F245:F245)</f>
        <v>0</v>
      </c>
      <c r="D245" s="13" t="e">
        <f>IF(C_MEAS="Sessions",INDEX($G$26:G245,MATCH(C245,$F$26:$F245,0)),
IF(C_MEAS="Total_Item_Requests",INDEX($H$26:$H245,MATCH(C245,$F$26:$F245,0)),
IF(C_MEAS="Unique_Item_Requests",INDEX($I$26:$I245,MATCH(C245,$F$26:$F245,0)),
IF(C_MEAS="Total_Item_Investigations",INDEX($J$26:$J245,MATCH(C245,$F$26:$F245,0)),
IF(C_MEAS="Unique_Item_Investigations",INDEX($K$26:$K245,MATCH(C245,$F$26:$F245,0)),
IF(C_MEAS="User",INDEX($L$26:$L245,MATCH(C245,$F$26:$F245,0))
))))))</f>
        <v>#N/A</v>
      </c>
      <c r="F245"/>
      <c r="G245"/>
      <c r="H245"/>
      <c r="I245"/>
      <c r="J245"/>
      <c r="K245"/>
      <c r="L245"/>
    </row>
    <row r="246" spans="3:12" x14ac:dyDescent="0.35">
      <c r="C246" s="9">
        <f t="array" ref="C246">_xlfn.UNIQUE(F246:F246)</f>
        <v>0</v>
      </c>
      <c r="D246" s="13" t="e">
        <f>IF(C_MEAS="Sessions",INDEX($G$26:G246,MATCH(C246,$F$26:$F246,0)),
IF(C_MEAS="Total_Item_Requests",INDEX($H$26:$H246,MATCH(C246,$F$26:$F246,0)),
IF(C_MEAS="Unique_Item_Requests",INDEX($I$26:$I246,MATCH(C246,$F$26:$F246,0)),
IF(C_MEAS="Total_Item_Investigations",INDEX($J$26:$J246,MATCH(C246,$F$26:$F246,0)),
IF(C_MEAS="Unique_Item_Investigations",INDEX($K$26:$K246,MATCH(C246,$F$26:$F246,0)),
IF(C_MEAS="User",INDEX($L$26:$L246,MATCH(C246,$F$26:$F246,0))
))))))</f>
        <v>#N/A</v>
      </c>
      <c r="F246"/>
      <c r="G246"/>
      <c r="H246"/>
      <c r="I246"/>
      <c r="J246"/>
      <c r="K246"/>
      <c r="L246"/>
    </row>
    <row r="247" spans="3:12" x14ac:dyDescent="0.35">
      <c r="C247" s="9">
        <f t="array" ref="C247">_xlfn.UNIQUE(F247:F247)</f>
        <v>0</v>
      </c>
      <c r="D247" s="13" t="e">
        <f>IF(C_MEAS="Sessions",INDEX($G$26:G247,MATCH(C247,$F$26:$F247,0)),
IF(C_MEAS="Total_Item_Requests",INDEX($H$26:$H247,MATCH(C247,$F$26:$F247,0)),
IF(C_MEAS="Unique_Item_Requests",INDEX($I$26:$I247,MATCH(C247,$F$26:$F247,0)),
IF(C_MEAS="Total_Item_Investigations",INDEX($J$26:$J247,MATCH(C247,$F$26:$F247,0)),
IF(C_MEAS="Unique_Item_Investigations",INDEX($K$26:$K247,MATCH(C247,$F$26:$F247,0)),
IF(C_MEAS="User",INDEX($L$26:$L247,MATCH(C247,$F$26:$F247,0))
))))))</f>
        <v>#N/A</v>
      </c>
      <c r="F247"/>
      <c r="G247"/>
      <c r="H247"/>
      <c r="I247"/>
      <c r="J247"/>
      <c r="K247"/>
      <c r="L247"/>
    </row>
    <row r="248" spans="3:12" x14ac:dyDescent="0.35">
      <c r="C248" s="9">
        <f t="array" ref="C248">_xlfn.UNIQUE(F248:F248)</f>
        <v>0</v>
      </c>
      <c r="D248" s="13" t="e">
        <f>IF(C_MEAS="Sessions",INDEX($G$26:G248,MATCH(C248,$F$26:$F248,0)),
IF(C_MEAS="Total_Item_Requests",INDEX($H$26:$H248,MATCH(C248,$F$26:$F248,0)),
IF(C_MEAS="Unique_Item_Requests",INDEX($I$26:$I248,MATCH(C248,$F$26:$F248,0)),
IF(C_MEAS="Total_Item_Investigations",INDEX($J$26:$J248,MATCH(C248,$F$26:$F248,0)),
IF(C_MEAS="Unique_Item_Investigations",INDEX($K$26:$K248,MATCH(C248,$F$26:$F248,0)),
IF(C_MEAS="User",INDEX($L$26:$L248,MATCH(C248,$F$26:$F248,0))
))))))</f>
        <v>#N/A</v>
      </c>
      <c r="F248"/>
      <c r="G248"/>
      <c r="H248"/>
      <c r="I248"/>
      <c r="J248"/>
      <c r="K248"/>
      <c r="L248"/>
    </row>
    <row r="249" spans="3:12" x14ac:dyDescent="0.35">
      <c r="C249" s="9">
        <f t="array" ref="C249">_xlfn.UNIQUE(F249:F249)</f>
        <v>0</v>
      </c>
      <c r="D249" s="13" t="e">
        <f>IF(C_MEAS="Sessions",INDEX($G$26:G249,MATCH(C249,$F$26:$F249,0)),
IF(C_MEAS="Total_Item_Requests",INDEX($H$26:$H249,MATCH(C249,$F$26:$F249,0)),
IF(C_MEAS="Unique_Item_Requests",INDEX($I$26:$I249,MATCH(C249,$F$26:$F249,0)),
IF(C_MEAS="Total_Item_Investigations",INDEX($J$26:$J249,MATCH(C249,$F$26:$F249,0)),
IF(C_MEAS="Unique_Item_Investigations",INDEX($K$26:$K249,MATCH(C249,$F$26:$F249,0)),
IF(C_MEAS="User",INDEX($L$26:$L249,MATCH(C249,$F$26:$F249,0))
))))))</f>
        <v>#N/A</v>
      </c>
      <c r="F249"/>
      <c r="G249"/>
      <c r="H249"/>
      <c r="I249"/>
      <c r="J249"/>
      <c r="K249"/>
      <c r="L249"/>
    </row>
    <row r="250" spans="3:12" x14ac:dyDescent="0.35">
      <c r="C250" s="9">
        <f t="array" ref="C250">_xlfn.UNIQUE(F250:F250)</f>
        <v>0</v>
      </c>
      <c r="D250" s="13" t="e">
        <f>IF(C_MEAS="Sessions",INDEX($G$26:G250,MATCH(C250,$F$26:$F250,0)),
IF(C_MEAS="Total_Item_Requests",INDEX($H$26:$H250,MATCH(C250,$F$26:$F250,0)),
IF(C_MEAS="Unique_Item_Requests",INDEX($I$26:$I250,MATCH(C250,$F$26:$F250,0)),
IF(C_MEAS="Total_Item_Investigations",INDEX($J$26:$J250,MATCH(C250,$F$26:$F250,0)),
IF(C_MEAS="Unique_Item_Investigations",INDEX($K$26:$K250,MATCH(C250,$F$26:$F250,0)),
IF(C_MEAS="User",INDEX($L$26:$L250,MATCH(C250,$F$26:$F250,0))
))))))</f>
        <v>#N/A</v>
      </c>
      <c r="F250"/>
      <c r="G250"/>
      <c r="H250"/>
      <c r="I250"/>
      <c r="J250"/>
      <c r="K250"/>
      <c r="L250"/>
    </row>
    <row r="251" spans="3:12" x14ac:dyDescent="0.35">
      <c r="C251" s="9">
        <f t="array" ref="C251">_xlfn.UNIQUE(F251:F251)</f>
        <v>0</v>
      </c>
      <c r="D251" s="13" t="e">
        <f>IF(C_MEAS="Sessions",INDEX($G$26:G251,MATCH(C251,$F$26:$F251,0)),
IF(C_MEAS="Total_Item_Requests",INDEX($H$26:$H251,MATCH(C251,$F$26:$F251,0)),
IF(C_MEAS="Unique_Item_Requests",INDEX($I$26:$I251,MATCH(C251,$F$26:$F251,0)),
IF(C_MEAS="Total_Item_Investigations",INDEX($J$26:$J251,MATCH(C251,$F$26:$F251,0)),
IF(C_MEAS="Unique_Item_Investigations",INDEX($K$26:$K251,MATCH(C251,$F$26:$F251,0)),
IF(C_MEAS="User",INDEX($L$26:$L251,MATCH(C251,$F$26:$F251,0))
))))))</f>
        <v>#N/A</v>
      </c>
      <c r="F251"/>
      <c r="G251"/>
      <c r="H251"/>
      <c r="I251"/>
      <c r="J251"/>
      <c r="K251"/>
      <c r="L251"/>
    </row>
    <row r="252" spans="3:12" x14ac:dyDescent="0.35">
      <c r="C252" s="9">
        <f t="array" ref="C252">_xlfn.UNIQUE(F252:F252)</f>
        <v>0</v>
      </c>
      <c r="D252" s="13" t="e">
        <f>IF(C_MEAS="Sessions",INDEX($G$26:G252,MATCH(C252,$F$26:$F252,0)),
IF(C_MEAS="Total_Item_Requests",INDEX($H$26:$H252,MATCH(C252,$F$26:$F252,0)),
IF(C_MEAS="Unique_Item_Requests",INDEX($I$26:$I252,MATCH(C252,$F$26:$F252,0)),
IF(C_MEAS="Total_Item_Investigations",INDEX($J$26:$J252,MATCH(C252,$F$26:$F252,0)),
IF(C_MEAS="Unique_Item_Investigations",INDEX($K$26:$K252,MATCH(C252,$F$26:$F252,0)),
IF(C_MEAS="User",INDEX($L$26:$L252,MATCH(C252,$F$26:$F252,0))
))))))</f>
        <v>#N/A</v>
      </c>
      <c r="F252"/>
      <c r="G252"/>
      <c r="H252"/>
      <c r="I252"/>
      <c r="J252"/>
      <c r="K252"/>
      <c r="L252"/>
    </row>
    <row r="253" spans="3:12" x14ac:dyDescent="0.35">
      <c r="C253" s="9">
        <f t="array" ref="C253">_xlfn.UNIQUE(F253:F253)</f>
        <v>0</v>
      </c>
      <c r="D253" s="13" t="e">
        <f>IF(C_MEAS="Sessions",INDEX($G$26:G253,MATCH(C253,$F$26:$F253,0)),
IF(C_MEAS="Total_Item_Requests",INDEX($H$26:$H253,MATCH(C253,$F$26:$F253,0)),
IF(C_MEAS="Unique_Item_Requests",INDEX($I$26:$I253,MATCH(C253,$F$26:$F253,0)),
IF(C_MEAS="Total_Item_Investigations",INDEX($J$26:$J253,MATCH(C253,$F$26:$F253,0)),
IF(C_MEAS="Unique_Item_Investigations",INDEX($K$26:$K253,MATCH(C253,$F$26:$F253,0)),
IF(C_MEAS="User",INDEX($L$26:$L253,MATCH(C253,$F$26:$F253,0))
))))))</f>
        <v>#N/A</v>
      </c>
      <c r="F253"/>
      <c r="G253"/>
      <c r="H253"/>
      <c r="I253"/>
      <c r="J253"/>
      <c r="K253"/>
      <c r="L253"/>
    </row>
    <row r="254" spans="3:12" x14ac:dyDescent="0.35">
      <c r="C254" s="9">
        <f t="array" ref="C254">_xlfn.UNIQUE(F254:F254)</f>
        <v>0</v>
      </c>
      <c r="D254" s="13" t="e">
        <f>IF(C_MEAS="Sessions",INDEX($G$26:G254,MATCH(C254,$F$26:$F254,0)),
IF(C_MEAS="Total_Item_Requests",INDEX($H$26:$H254,MATCH(C254,$F$26:$F254,0)),
IF(C_MEAS="Unique_Item_Requests",INDEX($I$26:$I254,MATCH(C254,$F$26:$F254,0)),
IF(C_MEAS="Total_Item_Investigations",INDEX($J$26:$J254,MATCH(C254,$F$26:$F254,0)),
IF(C_MEAS="Unique_Item_Investigations",INDEX($K$26:$K254,MATCH(C254,$F$26:$F254,0)),
IF(C_MEAS="User",INDEX($L$26:$L254,MATCH(C254,$F$26:$F254,0))
))))))</f>
        <v>#N/A</v>
      </c>
      <c r="F254"/>
      <c r="G254"/>
      <c r="H254"/>
      <c r="I254"/>
      <c r="J254"/>
      <c r="K254"/>
      <c r="L254"/>
    </row>
    <row r="255" spans="3:12" x14ac:dyDescent="0.35">
      <c r="C255" s="9">
        <f t="array" ref="C255">_xlfn.UNIQUE(F255:F255)</f>
        <v>0</v>
      </c>
      <c r="D255" s="13" t="e">
        <f>IF(C_MEAS="Sessions",INDEX($G$26:G255,MATCH(C255,$F$26:$F255,0)),
IF(C_MEAS="Total_Item_Requests",INDEX($H$26:$H255,MATCH(C255,$F$26:$F255,0)),
IF(C_MEAS="Unique_Item_Requests",INDEX($I$26:$I255,MATCH(C255,$F$26:$F255,0)),
IF(C_MEAS="Total_Item_Investigations",INDEX($J$26:$J255,MATCH(C255,$F$26:$F255,0)),
IF(C_MEAS="Unique_Item_Investigations",INDEX($K$26:$K255,MATCH(C255,$F$26:$F255,0)),
IF(C_MEAS="User",INDEX($L$26:$L255,MATCH(C255,$F$26:$F255,0))
))))))</f>
        <v>#N/A</v>
      </c>
      <c r="F255"/>
      <c r="G255"/>
      <c r="H255"/>
      <c r="I255"/>
      <c r="J255"/>
      <c r="K255"/>
      <c r="L255"/>
    </row>
    <row r="256" spans="3:12" x14ac:dyDescent="0.35">
      <c r="C256" s="9">
        <f t="array" ref="C256">_xlfn.UNIQUE(F256:F256)</f>
        <v>0</v>
      </c>
      <c r="D256" s="13" t="e">
        <f>IF(C_MEAS="Sessions",INDEX($G$26:G256,MATCH(C256,$F$26:$F256,0)),
IF(C_MEAS="Total_Item_Requests",INDEX($H$26:$H256,MATCH(C256,$F$26:$F256,0)),
IF(C_MEAS="Unique_Item_Requests",INDEX($I$26:$I256,MATCH(C256,$F$26:$F256,0)),
IF(C_MEAS="Total_Item_Investigations",INDEX($J$26:$J256,MATCH(C256,$F$26:$F256,0)),
IF(C_MEAS="Unique_Item_Investigations",INDEX($K$26:$K256,MATCH(C256,$F$26:$F256,0)),
IF(C_MEAS="User",INDEX($L$26:$L256,MATCH(C256,$F$26:$F256,0))
))))))</f>
        <v>#N/A</v>
      </c>
      <c r="F256"/>
      <c r="G256"/>
      <c r="H256"/>
      <c r="I256"/>
      <c r="J256"/>
      <c r="K256"/>
      <c r="L256"/>
    </row>
    <row r="257" spans="3:12" x14ac:dyDescent="0.35">
      <c r="C257" s="9">
        <f t="array" ref="C257">_xlfn.UNIQUE(F257:F257)</f>
        <v>0</v>
      </c>
      <c r="D257" s="13" t="e">
        <f>IF(C_MEAS="Sessions",INDEX($G$26:G257,MATCH(C257,$F$26:$F257,0)),
IF(C_MEAS="Total_Item_Requests",INDEX($H$26:$H257,MATCH(C257,$F$26:$F257,0)),
IF(C_MEAS="Unique_Item_Requests",INDEX($I$26:$I257,MATCH(C257,$F$26:$F257,0)),
IF(C_MEAS="Total_Item_Investigations",INDEX($J$26:$J257,MATCH(C257,$F$26:$F257,0)),
IF(C_MEAS="Unique_Item_Investigations",INDEX($K$26:$K257,MATCH(C257,$F$26:$F257,0)),
IF(C_MEAS="User",INDEX($L$26:$L257,MATCH(C257,$F$26:$F257,0))
))))))</f>
        <v>#N/A</v>
      </c>
      <c r="F257"/>
      <c r="G257"/>
      <c r="H257"/>
      <c r="I257"/>
      <c r="J257"/>
      <c r="K257"/>
      <c r="L257"/>
    </row>
    <row r="258" spans="3:12" x14ac:dyDescent="0.35">
      <c r="C258" s="9">
        <f t="array" ref="C258">_xlfn.UNIQUE(F258:F258)</f>
        <v>0</v>
      </c>
      <c r="D258" s="13" t="e">
        <f>IF(C_MEAS="Sessions",INDEX($G$26:G258,MATCH(C258,$F$26:$F258,0)),
IF(C_MEAS="Total_Item_Requests",INDEX($H$26:$H258,MATCH(C258,$F$26:$F258,0)),
IF(C_MEAS="Unique_Item_Requests",INDEX($I$26:$I258,MATCH(C258,$F$26:$F258,0)),
IF(C_MEAS="Total_Item_Investigations",INDEX($J$26:$J258,MATCH(C258,$F$26:$F258,0)),
IF(C_MEAS="Unique_Item_Investigations",INDEX($K$26:$K258,MATCH(C258,$F$26:$F258,0)),
IF(C_MEAS="User",INDEX($L$26:$L258,MATCH(C258,$F$26:$F258,0))
))))))</f>
        <v>#N/A</v>
      </c>
      <c r="F258"/>
      <c r="G258"/>
      <c r="H258"/>
      <c r="I258"/>
      <c r="J258"/>
      <c r="K258"/>
      <c r="L258"/>
    </row>
    <row r="259" spans="3:12" x14ac:dyDescent="0.35">
      <c r="C259" s="9">
        <f t="array" ref="C259">_xlfn.UNIQUE(F259:F259)</f>
        <v>0</v>
      </c>
      <c r="D259" s="13" t="e">
        <f>IF(C_MEAS="Sessions",INDEX($G$26:G259,MATCH(C259,$F$26:$F259,0)),
IF(C_MEAS="Total_Item_Requests",INDEX($H$26:$H259,MATCH(C259,$F$26:$F259,0)),
IF(C_MEAS="Unique_Item_Requests",INDEX($I$26:$I259,MATCH(C259,$F$26:$F259,0)),
IF(C_MEAS="Total_Item_Investigations",INDEX($J$26:$J259,MATCH(C259,$F$26:$F259,0)),
IF(C_MEAS="Unique_Item_Investigations",INDEX($K$26:$K259,MATCH(C259,$F$26:$F259,0)),
IF(C_MEAS="User",INDEX($L$26:$L259,MATCH(C259,$F$26:$F259,0))
))))))</f>
        <v>#N/A</v>
      </c>
      <c r="F259"/>
      <c r="G259"/>
      <c r="H259"/>
      <c r="I259"/>
      <c r="J259"/>
      <c r="K259"/>
      <c r="L259"/>
    </row>
    <row r="260" spans="3:12" x14ac:dyDescent="0.35">
      <c r="C260" s="9">
        <f t="array" ref="C260">_xlfn.UNIQUE(F260:F260)</f>
        <v>0</v>
      </c>
      <c r="D260" s="13" t="e">
        <f>IF(C_MEAS="Sessions",INDEX($G$26:G260,MATCH(C260,$F$26:$F260,0)),
IF(C_MEAS="Total_Item_Requests",INDEX($H$26:$H260,MATCH(C260,$F$26:$F260,0)),
IF(C_MEAS="Unique_Item_Requests",INDEX($I$26:$I260,MATCH(C260,$F$26:$F260,0)),
IF(C_MEAS="Total_Item_Investigations",INDEX($J$26:$J260,MATCH(C260,$F$26:$F260,0)),
IF(C_MEAS="Unique_Item_Investigations",INDEX($K$26:$K260,MATCH(C260,$F$26:$F260,0)),
IF(C_MEAS="User",INDEX($L$26:$L260,MATCH(C260,$F$26:$F260,0))
))))))</f>
        <v>#N/A</v>
      </c>
      <c r="F260"/>
      <c r="G260"/>
      <c r="H260"/>
      <c r="I260"/>
      <c r="J260"/>
      <c r="K260"/>
      <c r="L260"/>
    </row>
    <row r="261" spans="3:12" x14ac:dyDescent="0.35">
      <c r="C261" s="9">
        <f t="array" ref="C261">_xlfn.UNIQUE(F261:F261)</f>
        <v>0</v>
      </c>
      <c r="D261" s="13" t="e">
        <f>IF(C_MEAS="Sessions",INDEX($G$26:G261,MATCH(C261,$F$26:$F261,0)),
IF(C_MEAS="Total_Item_Requests",INDEX($H$26:$H261,MATCH(C261,$F$26:$F261,0)),
IF(C_MEAS="Unique_Item_Requests",INDEX($I$26:$I261,MATCH(C261,$F$26:$F261,0)),
IF(C_MEAS="Total_Item_Investigations",INDEX($J$26:$J261,MATCH(C261,$F$26:$F261,0)),
IF(C_MEAS="Unique_Item_Investigations",INDEX($K$26:$K261,MATCH(C261,$F$26:$F261,0)),
IF(C_MEAS="User",INDEX($L$26:$L261,MATCH(C261,$F$26:$F261,0))
))))))</f>
        <v>#N/A</v>
      </c>
      <c r="F261"/>
      <c r="G261"/>
      <c r="H261"/>
      <c r="I261"/>
      <c r="J261"/>
      <c r="K261"/>
      <c r="L261"/>
    </row>
    <row r="262" spans="3:12" x14ac:dyDescent="0.35">
      <c r="C262" s="9">
        <f t="array" ref="C262">_xlfn.UNIQUE(F262:F262)</f>
        <v>0</v>
      </c>
      <c r="D262" s="13" t="e">
        <f>IF(C_MEAS="Sessions",INDEX($G$26:G262,MATCH(C262,$F$26:$F262,0)),
IF(C_MEAS="Total_Item_Requests",INDEX($H$26:$H262,MATCH(C262,$F$26:$F262,0)),
IF(C_MEAS="Unique_Item_Requests",INDEX($I$26:$I262,MATCH(C262,$F$26:$F262,0)),
IF(C_MEAS="Total_Item_Investigations",INDEX($J$26:$J262,MATCH(C262,$F$26:$F262,0)),
IF(C_MEAS="Unique_Item_Investigations",INDEX($K$26:$K262,MATCH(C262,$F$26:$F262,0)),
IF(C_MEAS="User",INDEX($L$26:$L262,MATCH(C262,$F$26:$F262,0))
))))))</f>
        <v>#N/A</v>
      </c>
      <c r="F262"/>
      <c r="G262"/>
      <c r="H262"/>
      <c r="I262"/>
      <c r="J262"/>
      <c r="K262"/>
      <c r="L262"/>
    </row>
    <row r="263" spans="3:12" x14ac:dyDescent="0.35">
      <c r="C263" s="9">
        <f t="array" ref="C263">_xlfn.UNIQUE(F263:F263)</f>
        <v>0</v>
      </c>
      <c r="D263" s="13" t="e">
        <f>IF(C_MEAS="Sessions",INDEX($G$26:G263,MATCH(C263,$F$26:$F263,0)),
IF(C_MEAS="Total_Item_Requests",INDEX($H$26:$H263,MATCH(C263,$F$26:$F263,0)),
IF(C_MEAS="Unique_Item_Requests",INDEX($I$26:$I263,MATCH(C263,$F$26:$F263,0)),
IF(C_MEAS="Total_Item_Investigations",INDEX($J$26:$J263,MATCH(C263,$F$26:$F263,0)),
IF(C_MEAS="Unique_Item_Investigations",INDEX($K$26:$K263,MATCH(C263,$F$26:$F263,0)),
IF(C_MEAS="User",INDEX($L$26:$L263,MATCH(C263,$F$26:$F263,0))
))))))</f>
        <v>#N/A</v>
      </c>
      <c r="F263"/>
      <c r="G263"/>
      <c r="H263"/>
      <c r="I263"/>
      <c r="J263"/>
      <c r="K263"/>
      <c r="L263"/>
    </row>
    <row r="264" spans="3:12" x14ac:dyDescent="0.35">
      <c r="C264" s="9">
        <f t="array" ref="C264">_xlfn.UNIQUE(F264:F264)</f>
        <v>0</v>
      </c>
      <c r="D264" s="13" t="e">
        <f>IF(C_MEAS="Sessions",INDEX($G$26:G264,MATCH(C264,$F$26:$F264,0)),
IF(C_MEAS="Total_Item_Requests",INDEX($H$26:$H264,MATCH(C264,$F$26:$F264,0)),
IF(C_MEAS="Unique_Item_Requests",INDEX($I$26:$I264,MATCH(C264,$F$26:$F264,0)),
IF(C_MEAS="Total_Item_Investigations",INDEX($J$26:$J264,MATCH(C264,$F$26:$F264,0)),
IF(C_MEAS="Unique_Item_Investigations",INDEX($K$26:$K264,MATCH(C264,$F$26:$F264,0)),
IF(C_MEAS="User",INDEX($L$26:$L264,MATCH(C264,$F$26:$F264,0))
))))))</f>
        <v>#N/A</v>
      </c>
      <c r="F264"/>
      <c r="G264"/>
      <c r="H264"/>
      <c r="I264"/>
      <c r="J264"/>
      <c r="K264"/>
      <c r="L264"/>
    </row>
    <row r="265" spans="3:12" x14ac:dyDescent="0.35">
      <c r="C265" s="9">
        <f t="array" ref="C265">_xlfn.UNIQUE(F265:F265)</f>
        <v>0</v>
      </c>
      <c r="D265" s="13" t="e">
        <f>IF(C_MEAS="Sessions",INDEX($G$26:G265,MATCH(C265,$F$26:$F265,0)),
IF(C_MEAS="Total_Item_Requests",INDEX($H$26:$H265,MATCH(C265,$F$26:$F265,0)),
IF(C_MEAS="Unique_Item_Requests",INDEX($I$26:$I265,MATCH(C265,$F$26:$F265,0)),
IF(C_MEAS="Total_Item_Investigations",INDEX($J$26:$J265,MATCH(C265,$F$26:$F265,0)),
IF(C_MEAS="Unique_Item_Investigations",INDEX($K$26:$K265,MATCH(C265,$F$26:$F265,0)),
IF(C_MEAS="User",INDEX($L$26:$L265,MATCH(C265,$F$26:$F265,0))
))))))</f>
        <v>#N/A</v>
      </c>
      <c r="F265"/>
      <c r="G265"/>
      <c r="H265"/>
      <c r="I265"/>
      <c r="J265"/>
      <c r="K265"/>
      <c r="L265"/>
    </row>
    <row r="266" spans="3:12" x14ac:dyDescent="0.35">
      <c r="C266" s="9">
        <f t="array" ref="C266">_xlfn.UNIQUE(F266:F266)</f>
        <v>0</v>
      </c>
      <c r="D266" s="13" t="e">
        <f>IF(C_MEAS="Sessions",INDEX($G$26:G266,MATCH(C266,$F$26:$F266,0)),
IF(C_MEAS="Total_Item_Requests",INDEX($H$26:$H266,MATCH(C266,$F$26:$F266,0)),
IF(C_MEAS="Unique_Item_Requests",INDEX($I$26:$I266,MATCH(C266,$F$26:$F266,0)),
IF(C_MEAS="Total_Item_Investigations",INDEX($J$26:$J266,MATCH(C266,$F$26:$F266,0)),
IF(C_MEAS="Unique_Item_Investigations",INDEX($K$26:$K266,MATCH(C266,$F$26:$F266,0)),
IF(C_MEAS="User",INDEX($L$26:$L266,MATCH(C266,$F$26:$F266,0))
))))))</f>
        <v>#N/A</v>
      </c>
      <c r="F266"/>
      <c r="G266"/>
      <c r="H266"/>
      <c r="I266"/>
      <c r="J266"/>
      <c r="K266"/>
      <c r="L266"/>
    </row>
    <row r="267" spans="3:12" x14ac:dyDescent="0.35">
      <c r="C267" s="9">
        <f t="array" ref="C267">_xlfn.UNIQUE(F267:F267)</f>
        <v>0</v>
      </c>
      <c r="D267" s="13" t="e">
        <f>IF(C_MEAS="Sessions",INDEX($G$26:G267,MATCH(C267,$F$26:$F267,0)),
IF(C_MEAS="Total_Item_Requests",INDEX($H$26:$H267,MATCH(C267,$F$26:$F267,0)),
IF(C_MEAS="Unique_Item_Requests",INDEX($I$26:$I267,MATCH(C267,$F$26:$F267,0)),
IF(C_MEAS="Total_Item_Investigations",INDEX($J$26:$J267,MATCH(C267,$F$26:$F267,0)),
IF(C_MEAS="Unique_Item_Investigations",INDEX($K$26:$K267,MATCH(C267,$F$26:$F267,0)),
IF(C_MEAS="User",INDEX($L$26:$L267,MATCH(C267,$F$26:$F267,0))
))))))</f>
        <v>#N/A</v>
      </c>
      <c r="F267"/>
      <c r="G267"/>
      <c r="H267"/>
      <c r="I267"/>
      <c r="J267"/>
      <c r="K267"/>
      <c r="L267"/>
    </row>
    <row r="268" spans="3:12" x14ac:dyDescent="0.35">
      <c r="C268" s="9">
        <f t="array" ref="C268">_xlfn.UNIQUE(F268:F268)</f>
        <v>0</v>
      </c>
      <c r="D268" s="13" t="e">
        <f>IF(C_MEAS="Sessions",INDEX($G$26:G268,MATCH(C268,$F$26:$F268,0)),
IF(C_MEAS="Total_Item_Requests",INDEX($H$26:$H268,MATCH(C268,$F$26:$F268,0)),
IF(C_MEAS="Unique_Item_Requests",INDEX($I$26:$I268,MATCH(C268,$F$26:$F268,0)),
IF(C_MEAS="Total_Item_Investigations",INDEX($J$26:$J268,MATCH(C268,$F$26:$F268,0)),
IF(C_MEAS="Unique_Item_Investigations",INDEX($K$26:$K268,MATCH(C268,$F$26:$F268,0)),
IF(C_MEAS="User",INDEX($L$26:$L268,MATCH(C268,$F$26:$F268,0))
))))))</f>
        <v>#N/A</v>
      </c>
      <c r="F268"/>
      <c r="G268"/>
      <c r="H268"/>
      <c r="I268"/>
      <c r="J268"/>
      <c r="K268"/>
      <c r="L268"/>
    </row>
    <row r="269" spans="3:12" x14ac:dyDescent="0.35">
      <c r="C269" s="9">
        <f t="array" ref="C269">_xlfn.UNIQUE(F269:F269)</f>
        <v>0</v>
      </c>
      <c r="D269" s="13" t="e">
        <f>IF(C_MEAS="Sessions",INDEX($G$26:G269,MATCH(C269,$F$26:$F269,0)),
IF(C_MEAS="Total_Item_Requests",INDEX($H$26:$H269,MATCH(C269,$F$26:$F269,0)),
IF(C_MEAS="Unique_Item_Requests",INDEX($I$26:$I269,MATCH(C269,$F$26:$F269,0)),
IF(C_MEAS="Total_Item_Investigations",INDEX($J$26:$J269,MATCH(C269,$F$26:$F269,0)),
IF(C_MEAS="Unique_Item_Investigations",INDEX($K$26:$K269,MATCH(C269,$F$26:$F269,0)),
IF(C_MEAS="User",INDEX($L$26:$L269,MATCH(C269,$F$26:$F269,0))
))))))</f>
        <v>#N/A</v>
      </c>
      <c r="F269"/>
      <c r="G269"/>
      <c r="H269"/>
      <c r="I269"/>
      <c r="J269"/>
      <c r="K269"/>
      <c r="L269"/>
    </row>
    <row r="270" spans="3:12" x14ac:dyDescent="0.35">
      <c r="C270" s="9">
        <f t="array" ref="C270">_xlfn.UNIQUE(F270:F270)</f>
        <v>0</v>
      </c>
      <c r="D270" s="13" t="e">
        <f>IF(C_MEAS="Sessions",INDEX($G$26:G270,MATCH(C270,$F$26:$F270,0)),
IF(C_MEAS="Total_Item_Requests",INDEX($H$26:$H270,MATCH(C270,$F$26:$F270,0)),
IF(C_MEAS="Unique_Item_Requests",INDEX($I$26:$I270,MATCH(C270,$F$26:$F270,0)),
IF(C_MEAS="Total_Item_Investigations",INDEX($J$26:$J270,MATCH(C270,$F$26:$F270,0)),
IF(C_MEAS="Unique_Item_Investigations",INDEX($K$26:$K270,MATCH(C270,$F$26:$F270,0)),
IF(C_MEAS="User",INDEX($L$26:$L270,MATCH(C270,$F$26:$F270,0))
))))))</f>
        <v>#N/A</v>
      </c>
      <c r="F270"/>
      <c r="G270"/>
      <c r="H270"/>
      <c r="I270"/>
      <c r="J270"/>
      <c r="K270"/>
      <c r="L270"/>
    </row>
    <row r="271" spans="3:12" x14ac:dyDescent="0.35">
      <c r="C271" s="9">
        <f t="array" ref="C271">_xlfn.UNIQUE(F271:F271)</f>
        <v>0</v>
      </c>
      <c r="D271" s="13" t="e">
        <f>IF(C_MEAS="Sessions",INDEX($G$26:G271,MATCH(C271,$F$26:$F271,0)),
IF(C_MEAS="Total_Item_Requests",INDEX($H$26:$H271,MATCH(C271,$F$26:$F271,0)),
IF(C_MEAS="Unique_Item_Requests",INDEX($I$26:$I271,MATCH(C271,$F$26:$F271,0)),
IF(C_MEAS="Total_Item_Investigations",INDEX($J$26:$J271,MATCH(C271,$F$26:$F271,0)),
IF(C_MEAS="Unique_Item_Investigations",INDEX($K$26:$K271,MATCH(C271,$F$26:$F271,0)),
IF(C_MEAS="User",INDEX($L$26:$L271,MATCH(C271,$F$26:$F271,0))
))))))</f>
        <v>#N/A</v>
      </c>
      <c r="F271"/>
      <c r="G271"/>
      <c r="H271"/>
      <c r="I271"/>
      <c r="J271"/>
      <c r="K271"/>
      <c r="L271"/>
    </row>
    <row r="272" spans="3:12" x14ac:dyDescent="0.35">
      <c r="C272" s="9">
        <f t="array" ref="C272">_xlfn.UNIQUE(F272:F272)</f>
        <v>0</v>
      </c>
      <c r="D272" s="13" t="e">
        <f>IF(C_MEAS="Sessions",INDEX($G$26:G272,MATCH(C272,$F$26:$F272,0)),
IF(C_MEAS="Total_Item_Requests",INDEX($H$26:$H272,MATCH(C272,$F$26:$F272,0)),
IF(C_MEAS="Unique_Item_Requests",INDEX($I$26:$I272,MATCH(C272,$F$26:$F272,0)),
IF(C_MEAS="Total_Item_Investigations",INDEX($J$26:$J272,MATCH(C272,$F$26:$F272,0)),
IF(C_MEAS="Unique_Item_Investigations",INDEX($K$26:$K272,MATCH(C272,$F$26:$F272,0)),
IF(C_MEAS="User",INDEX($L$26:$L272,MATCH(C272,$F$26:$F272,0))
))))))</f>
        <v>#N/A</v>
      </c>
      <c r="F272"/>
      <c r="G272"/>
      <c r="H272"/>
      <c r="I272"/>
      <c r="J272"/>
      <c r="K272"/>
      <c r="L272"/>
    </row>
    <row r="273" spans="3:12" x14ac:dyDescent="0.35">
      <c r="C273" s="9">
        <f t="array" ref="C273">_xlfn.UNIQUE(F273:F273)</f>
        <v>0</v>
      </c>
      <c r="D273" s="13" t="e">
        <f>IF(C_MEAS="Sessions",INDEX($G$26:G273,MATCH(C273,$F$26:$F273,0)),
IF(C_MEAS="Total_Item_Requests",INDEX($H$26:$H273,MATCH(C273,$F$26:$F273,0)),
IF(C_MEAS="Unique_Item_Requests",INDEX($I$26:$I273,MATCH(C273,$F$26:$F273,0)),
IF(C_MEAS="Total_Item_Investigations",INDEX($J$26:$J273,MATCH(C273,$F$26:$F273,0)),
IF(C_MEAS="Unique_Item_Investigations",INDEX($K$26:$K273,MATCH(C273,$F$26:$F273,0)),
IF(C_MEAS="User",INDEX($L$26:$L273,MATCH(C273,$F$26:$F273,0))
))))))</f>
        <v>#N/A</v>
      </c>
      <c r="F273"/>
      <c r="G273"/>
      <c r="H273"/>
      <c r="I273"/>
      <c r="J273"/>
      <c r="K273"/>
      <c r="L273"/>
    </row>
    <row r="274" spans="3:12" x14ac:dyDescent="0.35">
      <c r="C274" s="9">
        <f t="array" ref="C274">_xlfn.UNIQUE(F274:F274)</f>
        <v>0</v>
      </c>
      <c r="D274" s="13" t="e">
        <f>IF(C_MEAS="Sessions",INDEX($G$26:G274,MATCH(C274,$F$26:$F274,0)),
IF(C_MEAS="Total_Item_Requests",INDEX($H$26:$H274,MATCH(C274,$F$26:$F274,0)),
IF(C_MEAS="Unique_Item_Requests",INDEX($I$26:$I274,MATCH(C274,$F$26:$F274,0)),
IF(C_MEAS="Total_Item_Investigations",INDEX($J$26:$J274,MATCH(C274,$F$26:$F274,0)),
IF(C_MEAS="Unique_Item_Investigations",INDEX($K$26:$K274,MATCH(C274,$F$26:$F274,0)),
IF(C_MEAS="User",INDEX($L$26:$L274,MATCH(C274,$F$26:$F274,0))
))))))</f>
        <v>#N/A</v>
      </c>
      <c r="F274"/>
      <c r="G274"/>
      <c r="H274"/>
      <c r="I274"/>
      <c r="J274"/>
      <c r="K274"/>
      <c r="L274"/>
    </row>
    <row r="275" spans="3:12" x14ac:dyDescent="0.35">
      <c r="C275" s="9">
        <f t="array" ref="C275">_xlfn.UNIQUE(F275:F275)</f>
        <v>0</v>
      </c>
      <c r="D275" s="13" t="e">
        <f>IF(C_MEAS="Sessions",INDEX($G$26:G275,MATCH(C275,$F$26:$F275,0)),
IF(C_MEAS="Total_Item_Requests",INDEX($H$26:$H275,MATCH(C275,$F$26:$F275,0)),
IF(C_MEAS="Unique_Item_Requests",INDEX($I$26:$I275,MATCH(C275,$F$26:$F275,0)),
IF(C_MEAS="Total_Item_Investigations",INDEX($J$26:$J275,MATCH(C275,$F$26:$F275,0)),
IF(C_MEAS="Unique_Item_Investigations",INDEX($K$26:$K275,MATCH(C275,$F$26:$F275,0)),
IF(C_MEAS="User",INDEX($L$26:$L275,MATCH(C275,$F$26:$F275,0))
))))))</f>
        <v>#N/A</v>
      </c>
      <c r="F275"/>
      <c r="G275"/>
      <c r="H275"/>
      <c r="I275"/>
      <c r="J275"/>
      <c r="K275"/>
      <c r="L275"/>
    </row>
    <row r="276" spans="3:12" x14ac:dyDescent="0.35">
      <c r="C276" s="9">
        <f t="array" ref="C276">_xlfn.UNIQUE(F276:F276)</f>
        <v>0</v>
      </c>
      <c r="D276" s="13" t="e">
        <f>IF(C_MEAS="Sessions",INDEX($G$26:G276,MATCH(C276,$F$26:$F276,0)),
IF(C_MEAS="Total_Item_Requests",INDEX($H$26:$H276,MATCH(C276,$F$26:$F276,0)),
IF(C_MEAS="Unique_Item_Requests",INDEX($I$26:$I276,MATCH(C276,$F$26:$F276,0)),
IF(C_MEAS="Total_Item_Investigations",INDEX($J$26:$J276,MATCH(C276,$F$26:$F276,0)),
IF(C_MEAS="Unique_Item_Investigations",INDEX($K$26:$K276,MATCH(C276,$F$26:$F276,0)),
IF(C_MEAS="User",INDEX($L$26:$L276,MATCH(C276,$F$26:$F276,0))
))))))</f>
        <v>#N/A</v>
      </c>
      <c r="F276"/>
      <c r="G276"/>
      <c r="H276"/>
      <c r="I276"/>
      <c r="J276"/>
      <c r="K276"/>
      <c r="L276"/>
    </row>
    <row r="277" spans="3:12" x14ac:dyDescent="0.35">
      <c r="C277" s="9">
        <f t="array" ref="C277">_xlfn.UNIQUE(F277:F277)</f>
        <v>0</v>
      </c>
      <c r="D277" s="13" t="e">
        <f>IF(C_MEAS="Sessions",INDEX($G$26:G277,MATCH(C277,$F$26:$F277,0)),
IF(C_MEAS="Total_Item_Requests",INDEX($H$26:$H277,MATCH(C277,$F$26:$F277,0)),
IF(C_MEAS="Unique_Item_Requests",INDEX($I$26:$I277,MATCH(C277,$F$26:$F277,0)),
IF(C_MEAS="Total_Item_Investigations",INDEX($J$26:$J277,MATCH(C277,$F$26:$F277,0)),
IF(C_MEAS="Unique_Item_Investigations",INDEX($K$26:$K277,MATCH(C277,$F$26:$F277,0)),
IF(C_MEAS="User",INDEX($L$26:$L277,MATCH(C277,$F$26:$F277,0))
))))))</f>
        <v>#N/A</v>
      </c>
      <c r="F277"/>
      <c r="G277"/>
      <c r="H277"/>
      <c r="I277"/>
      <c r="J277"/>
      <c r="K277"/>
      <c r="L277"/>
    </row>
    <row r="278" spans="3:12" x14ac:dyDescent="0.35">
      <c r="C278" s="9">
        <f t="array" ref="C278">_xlfn.UNIQUE(F278:F278)</f>
        <v>0</v>
      </c>
      <c r="D278" s="13" t="e">
        <f>IF(C_MEAS="Sessions",INDEX($G$26:G278,MATCH(C278,$F$26:$F278,0)),
IF(C_MEAS="Total_Item_Requests",INDEX($H$26:$H278,MATCH(C278,$F$26:$F278,0)),
IF(C_MEAS="Unique_Item_Requests",INDEX($I$26:$I278,MATCH(C278,$F$26:$F278,0)),
IF(C_MEAS="Total_Item_Investigations",INDEX($J$26:$J278,MATCH(C278,$F$26:$F278,0)),
IF(C_MEAS="Unique_Item_Investigations",INDEX($K$26:$K278,MATCH(C278,$F$26:$F278,0)),
IF(C_MEAS="User",INDEX($L$26:$L278,MATCH(C278,$F$26:$F278,0))
))))))</f>
        <v>#N/A</v>
      </c>
      <c r="F278"/>
      <c r="G278"/>
      <c r="H278"/>
      <c r="I278"/>
      <c r="J278"/>
      <c r="K278"/>
      <c r="L278"/>
    </row>
    <row r="279" spans="3:12" x14ac:dyDescent="0.35">
      <c r="C279" s="9">
        <f t="array" ref="C279">_xlfn.UNIQUE(F279:F279)</f>
        <v>0</v>
      </c>
      <c r="D279" s="13" t="e">
        <f>IF(C_MEAS="Sessions",INDEX($G$26:G279,MATCH(C279,$F$26:$F279,0)),
IF(C_MEAS="Total_Item_Requests",INDEX($H$26:$H279,MATCH(C279,$F$26:$F279,0)),
IF(C_MEAS="Unique_Item_Requests",INDEX($I$26:$I279,MATCH(C279,$F$26:$F279,0)),
IF(C_MEAS="Total_Item_Investigations",INDEX($J$26:$J279,MATCH(C279,$F$26:$F279,0)),
IF(C_MEAS="Unique_Item_Investigations",INDEX($K$26:$K279,MATCH(C279,$F$26:$F279,0)),
IF(C_MEAS="User",INDEX($L$26:$L279,MATCH(C279,$F$26:$F279,0))
))))))</f>
        <v>#N/A</v>
      </c>
      <c r="F279"/>
      <c r="G279"/>
      <c r="H279"/>
      <c r="I279"/>
      <c r="J279"/>
      <c r="K279"/>
      <c r="L279"/>
    </row>
    <row r="280" spans="3:12" x14ac:dyDescent="0.35">
      <c r="C280" s="9">
        <f t="array" ref="C280">_xlfn.UNIQUE(F280:F280)</f>
        <v>0</v>
      </c>
      <c r="D280" s="13" t="e">
        <f>IF(C_MEAS="Sessions",INDEX($G$26:G280,MATCH(C280,$F$26:$F280,0)),
IF(C_MEAS="Total_Item_Requests",INDEX($H$26:$H280,MATCH(C280,$F$26:$F280,0)),
IF(C_MEAS="Unique_Item_Requests",INDEX($I$26:$I280,MATCH(C280,$F$26:$F280,0)),
IF(C_MEAS="Total_Item_Investigations",INDEX($J$26:$J280,MATCH(C280,$F$26:$F280,0)),
IF(C_MEAS="Unique_Item_Investigations",INDEX($K$26:$K280,MATCH(C280,$F$26:$F280,0)),
IF(C_MEAS="User",INDEX($L$26:$L280,MATCH(C280,$F$26:$F280,0))
))))))</f>
        <v>#N/A</v>
      </c>
      <c r="F280"/>
      <c r="G280"/>
      <c r="H280"/>
      <c r="I280"/>
      <c r="J280"/>
      <c r="K280"/>
      <c r="L280"/>
    </row>
    <row r="281" spans="3:12" x14ac:dyDescent="0.35">
      <c r="C281" s="9">
        <f t="array" ref="C281">_xlfn.UNIQUE(F281:F281)</f>
        <v>0</v>
      </c>
      <c r="D281" s="13" t="e">
        <f>IF(C_MEAS="Sessions",INDEX($G$26:G281,MATCH(C281,$F$26:$F281,0)),
IF(C_MEAS="Total_Item_Requests",INDEX($H$26:$H281,MATCH(C281,$F$26:$F281,0)),
IF(C_MEAS="Unique_Item_Requests",INDEX($I$26:$I281,MATCH(C281,$F$26:$F281,0)),
IF(C_MEAS="Total_Item_Investigations",INDEX($J$26:$J281,MATCH(C281,$F$26:$F281,0)),
IF(C_MEAS="Unique_Item_Investigations",INDEX($K$26:$K281,MATCH(C281,$F$26:$F281,0)),
IF(C_MEAS="User",INDEX($L$26:$L281,MATCH(C281,$F$26:$F281,0))
))))))</f>
        <v>#N/A</v>
      </c>
      <c r="F281"/>
      <c r="G281"/>
      <c r="H281"/>
      <c r="I281"/>
      <c r="J281"/>
      <c r="K281"/>
      <c r="L281"/>
    </row>
    <row r="282" spans="3:12" x14ac:dyDescent="0.35">
      <c r="C282" s="9">
        <f t="array" ref="C282">_xlfn.UNIQUE(F282:F282)</f>
        <v>0</v>
      </c>
      <c r="D282" s="13" t="e">
        <f>IF(C_MEAS="Sessions",INDEX($G$26:G282,MATCH(C282,$F$26:$F282,0)),
IF(C_MEAS="Total_Item_Requests",INDEX($H$26:$H282,MATCH(C282,$F$26:$F282,0)),
IF(C_MEAS="Unique_Item_Requests",INDEX($I$26:$I282,MATCH(C282,$F$26:$F282,0)),
IF(C_MEAS="Total_Item_Investigations",INDEX($J$26:$J282,MATCH(C282,$F$26:$F282,0)),
IF(C_MEAS="Unique_Item_Investigations",INDEX($K$26:$K282,MATCH(C282,$F$26:$F282,0)),
IF(C_MEAS="User",INDEX($L$26:$L282,MATCH(C282,$F$26:$F282,0))
))))))</f>
        <v>#N/A</v>
      </c>
      <c r="F282"/>
      <c r="G282"/>
      <c r="H282"/>
      <c r="I282"/>
      <c r="J282"/>
      <c r="K282"/>
      <c r="L282"/>
    </row>
    <row r="283" spans="3:12" x14ac:dyDescent="0.35">
      <c r="C283" s="9">
        <f t="array" ref="C283">_xlfn.UNIQUE(F283:F283)</f>
        <v>0</v>
      </c>
      <c r="D283" s="13" t="e">
        <f>IF(C_MEAS="Sessions",INDEX($G$26:G283,MATCH(C283,$F$26:$F283,0)),
IF(C_MEAS="Total_Item_Requests",INDEX($H$26:$H283,MATCH(C283,$F$26:$F283,0)),
IF(C_MEAS="Unique_Item_Requests",INDEX($I$26:$I283,MATCH(C283,$F$26:$F283,0)),
IF(C_MEAS="Total_Item_Investigations",INDEX($J$26:$J283,MATCH(C283,$F$26:$F283,0)),
IF(C_MEAS="Unique_Item_Investigations",INDEX($K$26:$K283,MATCH(C283,$F$26:$F283,0)),
IF(C_MEAS="User",INDEX($L$26:$L283,MATCH(C283,$F$26:$F283,0))
))))))</f>
        <v>#N/A</v>
      </c>
      <c r="F283"/>
      <c r="G283"/>
      <c r="H283"/>
      <c r="I283"/>
      <c r="J283"/>
      <c r="K283"/>
      <c r="L283"/>
    </row>
    <row r="284" spans="3:12" x14ac:dyDescent="0.35">
      <c r="C284" s="9">
        <f t="array" ref="C284">_xlfn.UNIQUE(F284:F284)</f>
        <v>0</v>
      </c>
      <c r="D284" s="13" t="e">
        <f>IF(C_MEAS="Sessions",INDEX($G$26:G284,MATCH(C284,$F$26:$F284,0)),
IF(C_MEAS="Total_Item_Requests",INDEX($H$26:$H284,MATCH(C284,$F$26:$F284,0)),
IF(C_MEAS="Unique_Item_Requests",INDEX($I$26:$I284,MATCH(C284,$F$26:$F284,0)),
IF(C_MEAS="Total_Item_Investigations",INDEX($J$26:$J284,MATCH(C284,$F$26:$F284,0)),
IF(C_MEAS="Unique_Item_Investigations",INDEX($K$26:$K284,MATCH(C284,$F$26:$F284,0)),
IF(C_MEAS="User",INDEX($L$26:$L284,MATCH(C284,$F$26:$F284,0))
))))))</f>
        <v>#N/A</v>
      </c>
      <c r="F284"/>
      <c r="G284"/>
      <c r="H284"/>
      <c r="I284"/>
      <c r="J284"/>
      <c r="K284"/>
      <c r="L284"/>
    </row>
    <row r="285" spans="3:12" x14ac:dyDescent="0.35">
      <c r="C285" s="9">
        <f t="array" ref="C285">_xlfn.UNIQUE(F285:F285)</f>
        <v>0</v>
      </c>
      <c r="D285" s="13" t="e">
        <f>IF(C_MEAS="Sessions",INDEX($G$26:G285,MATCH(C285,$F$26:$F285,0)),
IF(C_MEAS="Total_Item_Requests",INDEX($H$26:$H285,MATCH(C285,$F$26:$F285,0)),
IF(C_MEAS="Unique_Item_Requests",INDEX($I$26:$I285,MATCH(C285,$F$26:$F285,0)),
IF(C_MEAS="Total_Item_Investigations",INDEX($J$26:$J285,MATCH(C285,$F$26:$F285,0)),
IF(C_MEAS="Unique_Item_Investigations",INDEX($K$26:$K285,MATCH(C285,$F$26:$F285,0)),
IF(C_MEAS="User",INDEX($L$26:$L285,MATCH(C285,$F$26:$F285,0))
))))))</f>
        <v>#N/A</v>
      </c>
      <c r="F285"/>
      <c r="G285"/>
      <c r="H285"/>
      <c r="I285"/>
      <c r="J285"/>
      <c r="K285"/>
      <c r="L285"/>
    </row>
    <row r="286" spans="3:12" x14ac:dyDescent="0.35">
      <c r="C286" s="9">
        <f t="array" ref="C286">_xlfn.UNIQUE(F286:F286)</f>
        <v>0</v>
      </c>
      <c r="D286" s="13" t="e">
        <f>IF(C_MEAS="Sessions",INDEX($G$26:G286,MATCH(C286,$F$26:$F286,0)),
IF(C_MEAS="Total_Item_Requests",INDEX($H$26:$H286,MATCH(C286,$F$26:$F286,0)),
IF(C_MEAS="Unique_Item_Requests",INDEX($I$26:$I286,MATCH(C286,$F$26:$F286,0)),
IF(C_MEAS="Total_Item_Investigations",INDEX($J$26:$J286,MATCH(C286,$F$26:$F286,0)),
IF(C_MEAS="Unique_Item_Investigations",INDEX($K$26:$K286,MATCH(C286,$F$26:$F286,0)),
IF(C_MEAS="User",INDEX($L$26:$L286,MATCH(C286,$F$26:$F286,0))
))))))</f>
        <v>#N/A</v>
      </c>
      <c r="F286"/>
      <c r="G286"/>
      <c r="H286"/>
      <c r="I286"/>
      <c r="J286"/>
      <c r="K286"/>
      <c r="L286"/>
    </row>
    <row r="287" spans="3:12" x14ac:dyDescent="0.35">
      <c r="C287" s="9">
        <f t="array" ref="C287">_xlfn.UNIQUE(F287:F287)</f>
        <v>0</v>
      </c>
      <c r="D287" s="13" t="e">
        <f>IF(C_MEAS="Sessions",INDEX($G$26:G287,MATCH(C287,$F$26:$F287,0)),
IF(C_MEAS="Total_Item_Requests",INDEX($H$26:$H287,MATCH(C287,$F$26:$F287,0)),
IF(C_MEAS="Unique_Item_Requests",INDEX($I$26:$I287,MATCH(C287,$F$26:$F287,0)),
IF(C_MEAS="Total_Item_Investigations",INDEX($J$26:$J287,MATCH(C287,$F$26:$F287,0)),
IF(C_MEAS="Unique_Item_Investigations",INDEX($K$26:$K287,MATCH(C287,$F$26:$F287,0)),
IF(C_MEAS="User",INDEX($L$26:$L287,MATCH(C287,$F$26:$F287,0))
))))))</f>
        <v>#N/A</v>
      </c>
      <c r="F287"/>
      <c r="G287"/>
      <c r="H287"/>
      <c r="I287"/>
      <c r="J287"/>
      <c r="K287"/>
      <c r="L287"/>
    </row>
    <row r="288" spans="3:12" x14ac:dyDescent="0.35">
      <c r="C288" s="9">
        <f t="array" ref="C288">_xlfn.UNIQUE(F288:F288)</f>
        <v>0</v>
      </c>
      <c r="D288" s="13" t="e">
        <f>IF(C_MEAS="Sessions",INDEX($G$26:G288,MATCH(C288,$F$26:$F288,0)),
IF(C_MEAS="Total_Item_Requests",INDEX($H$26:$H288,MATCH(C288,$F$26:$F288,0)),
IF(C_MEAS="Unique_Item_Requests",INDEX($I$26:$I288,MATCH(C288,$F$26:$F288,0)),
IF(C_MEAS="Total_Item_Investigations",INDEX($J$26:$J288,MATCH(C288,$F$26:$F288,0)),
IF(C_MEAS="Unique_Item_Investigations",INDEX($K$26:$K288,MATCH(C288,$F$26:$F288,0)),
IF(C_MEAS="User",INDEX($L$26:$L288,MATCH(C288,$F$26:$F288,0))
))))))</f>
        <v>#N/A</v>
      </c>
      <c r="F288"/>
      <c r="G288"/>
      <c r="H288"/>
      <c r="I288"/>
      <c r="J288"/>
      <c r="K288"/>
      <c r="L288"/>
    </row>
    <row r="289" spans="3:12" x14ac:dyDescent="0.35">
      <c r="C289" s="9">
        <f t="array" ref="C289">_xlfn.UNIQUE(F289:F289)</f>
        <v>0</v>
      </c>
      <c r="D289" s="13" t="e">
        <f>IF(C_MEAS="Sessions",INDEX($G$26:G289,MATCH(C289,$F$26:$F289,0)),
IF(C_MEAS="Total_Item_Requests",INDEX($H$26:$H289,MATCH(C289,$F$26:$F289,0)),
IF(C_MEAS="Unique_Item_Requests",INDEX($I$26:$I289,MATCH(C289,$F$26:$F289,0)),
IF(C_MEAS="Total_Item_Investigations",INDEX($J$26:$J289,MATCH(C289,$F$26:$F289,0)),
IF(C_MEAS="Unique_Item_Investigations",INDEX($K$26:$K289,MATCH(C289,$F$26:$F289,0)),
IF(C_MEAS="User",INDEX($L$26:$L289,MATCH(C289,$F$26:$F289,0))
))))))</f>
        <v>#N/A</v>
      </c>
      <c r="F289"/>
      <c r="G289"/>
      <c r="H289"/>
      <c r="I289"/>
      <c r="J289"/>
      <c r="K289"/>
      <c r="L289"/>
    </row>
    <row r="290" spans="3:12" x14ac:dyDescent="0.35">
      <c r="C290" s="9">
        <f t="array" ref="C290">_xlfn.UNIQUE(F290:F290)</f>
        <v>0</v>
      </c>
      <c r="D290" s="13" t="e">
        <f>IF(C_MEAS="Sessions",INDEX($G$26:G290,MATCH(C290,$F$26:$F290,0)),
IF(C_MEAS="Total_Item_Requests",INDEX($H$26:$H290,MATCH(C290,$F$26:$F290,0)),
IF(C_MEAS="Unique_Item_Requests",INDEX($I$26:$I290,MATCH(C290,$F$26:$F290,0)),
IF(C_MEAS="Total_Item_Investigations",INDEX($J$26:$J290,MATCH(C290,$F$26:$F290,0)),
IF(C_MEAS="Unique_Item_Investigations",INDEX($K$26:$K290,MATCH(C290,$F$26:$F290,0)),
IF(C_MEAS="User",INDEX($L$26:$L290,MATCH(C290,$F$26:$F290,0))
))))))</f>
        <v>#N/A</v>
      </c>
      <c r="F290"/>
      <c r="G290"/>
      <c r="H290"/>
      <c r="I290"/>
      <c r="J290"/>
      <c r="K290"/>
      <c r="L290"/>
    </row>
    <row r="291" spans="3:12" x14ac:dyDescent="0.35">
      <c r="C291" s="9">
        <f t="array" ref="C291">_xlfn.UNIQUE(F291:F291)</f>
        <v>0</v>
      </c>
      <c r="D291" s="13" t="e">
        <f>IF(C_MEAS="Sessions",INDEX($G$26:G291,MATCH(C291,$F$26:$F291,0)),
IF(C_MEAS="Total_Item_Requests",INDEX($H$26:$H291,MATCH(C291,$F$26:$F291,0)),
IF(C_MEAS="Unique_Item_Requests",INDEX($I$26:$I291,MATCH(C291,$F$26:$F291,0)),
IF(C_MEAS="Total_Item_Investigations",INDEX($J$26:$J291,MATCH(C291,$F$26:$F291,0)),
IF(C_MEAS="Unique_Item_Investigations",INDEX($K$26:$K291,MATCH(C291,$F$26:$F291,0)),
IF(C_MEAS="User",INDEX($L$26:$L291,MATCH(C291,$F$26:$F291,0))
))))))</f>
        <v>#N/A</v>
      </c>
      <c r="F291"/>
      <c r="G291"/>
      <c r="H291"/>
      <c r="I291"/>
      <c r="J291"/>
      <c r="K291"/>
      <c r="L291"/>
    </row>
    <row r="292" spans="3:12" x14ac:dyDescent="0.35">
      <c r="C292" s="9">
        <f t="array" ref="C292">_xlfn.UNIQUE(F292:F292)</f>
        <v>0</v>
      </c>
      <c r="D292" s="13" t="e">
        <f>IF(C_MEAS="Sessions",INDEX($G$26:G292,MATCH(C292,$F$26:$F292,0)),
IF(C_MEAS="Total_Item_Requests",INDEX($H$26:$H292,MATCH(C292,$F$26:$F292,0)),
IF(C_MEAS="Unique_Item_Requests",INDEX($I$26:$I292,MATCH(C292,$F$26:$F292,0)),
IF(C_MEAS="Total_Item_Investigations",INDEX($J$26:$J292,MATCH(C292,$F$26:$F292,0)),
IF(C_MEAS="Unique_Item_Investigations",INDEX($K$26:$K292,MATCH(C292,$F$26:$F292,0)),
IF(C_MEAS="User",INDEX($L$26:$L292,MATCH(C292,$F$26:$F292,0))
))))))</f>
        <v>#N/A</v>
      </c>
      <c r="F292"/>
      <c r="G292"/>
      <c r="H292"/>
      <c r="I292"/>
      <c r="J292"/>
      <c r="K292"/>
      <c r="L292"/>
    </row>
    <row r="293" spans="3:12" x14ac:dyDescent="0.35">
      <c r="C293" s="9">
        <f t="array" ref="C293">_xlfn.UNIQUE(F293:F293)</f>
        <v>0</v>
      </c>
      <c r="D293" s="13" t="e">
        <f>IF(C_MEAS="Sessions",INDEX($G$26:G293,MATCH(C293,$F$26:$F293,0)),
IF(C_MEAS="Total_Item_Requests",INDEX($H$26:$H293,MATCH(C293,$F$26:$F293,0)),
IF(C_MEAS="Unique_Item_Requests",INDEX($I$26:$I293,MATCH(C293,$F$26:$F293,0)),
IF(C_MEAS="Total_Item_Investigations",INDEX($J$26:$J293,MATCH(C293,$F$26:$F293,0)),
IF(C_MEAS="Unique_Item_Investigations",INDEX($K$26:$K293,MATCH(C293,$F$26:$F293,0)),
IF(C_MEAS="User",INDEX($L$26:$L293,MATCH(C293,$F$26:$F293,0))
))))))</f>
        <v>#N/A</v>
      </c>
      <c r="F293"/>
      <c r="G293"/>
      <c r="H293"/>
      <c r="I293"/>
      <c r="J293"/>
      <c r="K293"/>
      <c r="L293"/>
    </row>
    <row r="294" spans="3:12" x14ac:dyDescent="0.35">
      <c r="C294" s="9">
        <f t="array" ref="C294">_xlfn.UNIQUE(F294:F294)</f>
        <v>0</v>
      </c>
      <c r="D294" s="13" t="e">
        <f>IF(C_MEAS="Sessions",INDEX($G$26:G294,MATCH(C294,$F$26:$F294,0)),
IF(C_MEAS="Total_Item_Requests",INDEX($H$26:$H294,MATCH(C294,$F$26:$F294,0)),
IF(C_MEAS="Unique_Item_Requests",INDEX($I$26:$I294,MATCH(C294,$F$26:$F294,0)),
IF(C_MEAS="Total_Item_Investigations",INDEX($J$26:$J294,MATCH(C294,$F$26:$F294,0)),
IF(C_MEAS="Unique_Item_Investigations",INDEX($K$26:$K294,MATCH(C294,$F$26:$F294,0)),
IF(C_MEAS="User",INDEX($L$26:$L294,MATCH(C294,$F$26:$F294,0))
))))))</f>
        <v>#N/A</v>
      </c>
      <c r="F294"/>
      <c r="G294"/>
      <c r="H294"/>
      <c r="I294"/>
      <c r="J294"/>
      <c r="K294"/>
      <c r="L294"/>
    </row>
    <row r="295" spans="3:12" x14ac:dyDescent="0.35">
      <c r="C295" s="9">
        <f t="array" ref="C295">_xlfn.UNIQUE(F295:F295)</f>
        <v>0</v>
      </c>
      <c r="D295" s="13" t="e">
        <f>IF(C_MEAS="Sessions",INDEX($G$26:G295,MATCH(C295,$F$26:$F295,0)),
IF(C_MEAS="Total_Item_Requests",INDEX($H$26:$H295,MATCH(C295,$F$26:$F295,0)),
IF(C_MEAS="Unique_Item_Requests",INDEX($I$26:$I295,MATCH(C295,$F$26:$F295,0)),
IF(C_MEAS="Total_Item_Investigations",INDEX($J$26:$J295,MATCH(C295,$F$26:$F295,0)),
IF(C_MEAS="Unique_Item_Investigations",INDEX($K$26:$K295,MATCH(C295,$F$26:$F295,0)),
IF(C_MEAS="User",INDEX($L$26:$L295,MATCH(C295,$F$26:$F295,0))
))))))</f>
        <v>#N/A</v>
      </c>
      <c r="F295"/>
      <c r="G295"/>
      <c r="H295"/>
      <c r="I295"/>
      <c r="J295"/>
      <c r="K295"/>
      <c r="L295"/>
    </row>
    <row r="296" spans="3:12" x14ac:dyDescent="0.35">
      <c r="C296" s="9">
        <f t="array" ref="C296">_xlfn.UNIQUE(F296:F296)</f>
        <v>0</v>
      </c>
      <c r="D296" s="13" t="e">
        <f>IF(C_MEAS="Sessions",INDEX($G$26:G296,MATCH(C296,$F$26:$F296,0)),
IF(C_MEAS="Total_Item_Requests",INDEX($H$26:$H296,MATCH(C296,$F$26:$F296,0)),
IF(C_MEAS="Unique_Item_Requests",INDEX($I$26:$I296,MATCH(C296,$F$26:$F296,0)),
IF(C_MEAS="Total_Item_Investigations",INDEX($J$26:$J296,MATCH(C296,$F$26:$F296,0)),
IF(C_MEAS="Unique_Item_Investigations",INDEX($K$26:$K296,MATCH(C296,$F$26:$F296,0)),
IF(C_MEAS="User",INDEX($L$26:$L296,MATCH(C296,$F$26:$F296,0))
))))))</f>
        <v>#N/A</v>
      </c>
      <c r="F296"/>
      <c r="G296"/>
      <c r="H296"/>
      <c r="I296"/>
      <c r="J296"/>
      <c r="K296"/>
      <c r="L296"/>
    </row>
    <row r="297" spans="3:12" x14ac:dyDescent="0.35">
      <c r="C297" s="9">
        <f t="array" ref="C297">_xlfn.UNIQUE(F297:F297)</f>
        <v>0</v>
      </c>
      <c r="D297" s="13" t="e">
        <f>IF(C_MEAS="Sessions",INDEX($G$26:G297,MATCH(C297,$F$26:$F297,0)),
IF(C_MEAS="Total_Item_Requests",INDEX($H$26:$H297,MATCH(C297,$F$26:$F297,0)),
IF(C_MEAS="Unique_Item_Requests",INDEX($I$26:$I297,MATCH(C297,$F$26:$F297,0)),
IF(C_MEAS="Total_Item_Investigations",INDEX($J$26:$J297,MATCH(C297,$F$26:$F297,0)),
IF(C_MEAS="Unique_Item_Investigations",INDEX($K$26:$K297,MATCH(C297,$F$26:$F297,0)),
IF(C_MEAS="User",INDEX($L$26:$L297,MATCH(C297,$F$26:$F297,0))
))))))</f>
        <v>#N/A</v>
      </c>
      <c r="F297"/>
      <c r="G297"/>
      <c r="H297"/>
      <c r="I297"/>
      <c r="J297"/>
      <c r="K297"/>
      <c r="L297"/>
    </row>
    <row r="298" spans="3:12" x14ac:dyDescent="0.35">
      <c r="C298" s="9">
        <f t="array" ref="C298">_xlfn.UNIQUE(F298:F298)</f>
        <v>0</v>
      </c>
      <c r="D298" s="13" t="e">
        <f>IF(C_MEAS="Sessions",INDEX($G$26:G298,MATCH(C298,$F$26:$F298,0)),
IF(C_MEAS="Total_Item_Requests",INDEX($H$26:$H298,MATCH(C298,$F$26:$F298,0)),
IF(C_MEAS="Unique_Item_Requests",INDEX($I$26:$I298,MATCH(C298,$F$26:$F298,0)),
IF(C_MEAS="Total_Item_Investigations",INDEX($J$26:$J298,MATCH(C298,$F$26:$F298,0)),
IF(C_MEAS="Unique_Item_Investigations",INDEX($K$26:$K298,MATCH(C298,$F$26:$F298,0)),
IF(C_MEAS="User",INDEX($L$26:$L298,MATCH(C298,$F$26:$F298,0))
))))))</f>
        <v>#N/A</v>
      </c>
      <c r="F298"/>
      <c r="G298"/>
      <c r="H298"/>
      <c r="I298"/>
      <c r="J298"/>
      <c r="K298"/>
      <c r="L298"/>
    </row>
    <row r="299" spans="3:12" x14ac:dyDescent="0.35">
      <c r="C299" s="9">
        <f t="array" ref="C299">_xlfn.UNIQUE(F299:F299)</f>
        <v>0</v>
      </c>
      <c r="D299" s="13" t="e">
        <f>IF(C_MEAS="Sessions",INDEX($G$26:G299,MATCH(C299,$F$26:$F299,0)),
IF(C_MEAS="Total_Item_Requests",INDEX($H$26:$H299,MATCH(C299,$F$26:$F299,0)),
IF(C_MEAS="Unique_Item_Requests",INDEX($I$26:$I299,MATCH(C299,$F$26:$F299,0)),
IF(C_MEAS="Total_Item_Investigations",INDEX($J$26:$J299,MATCH(C299,$F$26:$F299,0)),
IF(C_MEAS="Unique_Item_Investigations",INDEX($K$26:$K299,MATCH(C299,$F$26:$F299,0)),
IF(C_MEAS="User",INDEX($L$26:$L299,MATCH(C299,$F$26:$F299,0))
))))))</f>
        <v>#N/A</v>
      </c>
      <c r="F299"/>
      <c r="G299"/>
      <c r="H299"/>
      <c r="I299"/>
      <c r="J299"/>
      <c r="K299"/>
      <c r="L299"/>
    </row>
    <row r="300" spans="3:12" x14ac:dyDescent="0.35">
      <c r="C300" s="9">
        <f t="array" ref="C300">_xlfn.UNIQUE(F300:F300)</f>
        <v>0</v>
      </c>
      <c r="D300" s="13" t="e">
        <f>IF(C_MEAS="Sessions",INDEX($G$26:G300,MATCH(C300,$F$26:$F300,0)),
IF(C_MEAS="Total_Item_Requests",INDEX($H$26:$H300,MATCH(C300,$F$26:$F300,0)),
IF(C_MEAS="Unique_Item_Requests",INDEX($I$26:$I300,MATCH(C300,$F$26:$F300,0)),
IF(C_MEAS="Total_Item_Investigations",INDEX($J$26:$J300,MATCH(C300,$F$26:$F300,0)),
IF(C_MEAS="Unique_Item_Investigations",INDEX($K$26:$K300,MATCH(C300,$F$26:$F300,0)),
IF(C_MEAS="User",INDEX($L$26:$L300,MATCH(C300,$F$26:$F300,0))
))))))</f>
        <v>#N/A</v>
      </c>
      <c r="F300"/>
      <c r="G300"/>
      <c r="H300"/>
      <c r="I300"/>
      <c r="J300"/>
      <c r="K300"/>
      <c r="L300"/>
    </row>
    <row r="301" spans="3:12" x14ac:dyDescent="0.35">
      <c r="C301" s="9">
        <f t="array" ref="C301">_xlfn.UNIQUE(F301:F301)</f>
        <v>0</v>
      </c>
      <c r="D301" s="13" t="e">
        <f>IF(C_MEAS="Sessions",INDEX($G$26:G301,MATCH(C301,$F$26:$F301,0)),
IF(C_MEAS="Total_Item_Requests",INDEX($H$26:$H301,MATCH(C301,$F$26:$F301,0)),
IF(C_MEAS="Unique_Item_Requests",INDEX($I$26:$I301,MATCH(C301,$F$26:$F301,0)),
IF(C_MEAS="Total_Item_Investigations",INDEX($J$26:$J301,MATCH(C301,$F$26:$F301,0)),
IF(C_MEAS="Unique_Item_Investigations",INDEX($K$26:$K301,MATCH(C301,$F$26:$F301,0)),
IF(C_MEAS="User",INDEX($L$26:$L301,MATCH(C301,$F$26:$F301,0))
))))))</f>
        <v>#N/A</v>
      </c>
      <c r="F301"/>
      <c r="G301"/>
      <c r="H301"/>
      <c r="I301"/>
      <c r="J301"/>
      <c r="K301"/>
      <c r="L301"/>
    </row>
    <row r="302" spans="3:12" x14ac:dyDescent="0.35">
      <c r="C302" s="9">
        <f t="array" ref="C302">_xlfn.UNIQUE(F302:F302)</f>
        <v>0</v>
      </c>
      <c r="D302" s="13" t="e">
        <f>IF(C_MEAS="Sessions",INDEX($G$26:G302,MATCH(C302,$F$26:$F302,0)),
IF(C_MEAS="Total_Item_Requests",INDEX($H$26:$H302,MATCH(C302,$F$26:$F302,0)),
IF(C_MEAS="Unique_Item_Requests",INDEX($I$26:$I302,MATCH(C302,$F$26:$F302,0)),
IF(C_MEAS="Total_Item_Investigations",INDEX($J$26:$J302,MATCH(C302,$F$26:$F302,0)),
IF(C_MEAS="Unique_Item_Investigations",INDEX($K$26:$K302,MATCH(C302,$F$26:$F302,0)),
IF(C_MEAS="User",INDEX($L$26:$L302,MATCH(C302,$F$26:$F302,0))
))))))</f>
        <v>#N/A</v>
      </c>
      <c r="F302"/>
      <c r="G302"/>
      <c r="H302"/>
      <c r="I302"/>
      <c r="J302"/>
      <c r="K302"/>
      <c r="L302"/>
    </row>
    <row r="303" spans="3:12" x14ac:dyDescent="0.35">
      <c r="C303" s="9">
        <f t="array" ref="C303">_xlfn.UNIQUE(F303:F303)</f>
        <v>0</v>
      </c>
      <c r="D303" s="13" t="e">
        <f>IF(C_MEAS="Sessions",INDEX($G$26:G303,MATCH(C303,$F$26:$F303,0)),
IF(C_MEAS="Total_Item_Requests",INDEX($H$26:$H303,MATCH(C303,$F$26:$F303,0)),
IF(C_MEAS="Unique_Item_Requests",INDEX($I$26:$I303,MATCH(C303,$F$26:$F303,0)),
IF(C_MEAS="Total_Item_Investigations",INDEX($J$26:$J303,MATCH(C303,$F$26:$F303,0)),
IF(C_MEAS="Unique_Item_Investigations",INDEX($K$26:$K303,MATCH(C303,$F$26:$F303,0)),
IF(C_MEAS="User",INDEX($L$26:$L303,MATCH(C303,$F$26:$F303,0))
))))))</f>
        <v>#N/A</v>
      </c>
      <c r="F303"/>
      <c r="G303"/>
      <c r="H303"/>
      <c r="I303"/>
      <c r="J303"/>
      <c r="K303"/>
      <c r="L303"/>
    </row>
    <row r="304" spans="3:12" x14ac:dyDescent="0.35">
      <c r="C304" s="9">
        <f t="array" ref="C304">_xlfn.UNIQUE(F304:F304)</f>
        <v>0</v>
      </c>
      <c r="D304" s="13" t="e">
        <f>IF(C_MEAS="Sessions",INDEX($G$26:G304,MATCH(C304,$F$26:$F304,0)),
IF(C_MEAS="Total_Item_Requests",INDEX($H$26:$H304,MATCH(C304,$F$26:$F304,0)),
IF(C_MEAS="Unique_Item_Requests",INDEX($I$26:$I304,MATCH(C304,$F$26:$F304,0)),
IF(C_MEAS="Total_Item_Investigations",INDEX($J$26:$J304,MATCH(C304,$F$26:$F304,0)),
IF(C_MEAS="Unique_Item_Investigations",INDEX($K$26:$K304,MATCH(C304,$F$26:$F304,0)),
IF(C_MEAS="User",INDEX($L$26:$L304,MATCH(C304,$F$26:$F304,0))
))))))</f>
        <v>#N/A</v>
      </c>
      <c r="F304"/>
      <c r="G304"/>
      <c r="H304"/>
      <c r="I304"/>
      <c r="J304"/>
      <c r="K304"/>
      <c r="L304"/>
    </row>
    <row r="305" spans="3:12" x14ac:dyDescent="0.35">
      <c r="C305" s="9">
        <f t="array" ref="C305">_xlfn.UNIQUE(F305:F305)</f>
        <v>0</v>
      </c>
      <c r="D305" s="13" t="e">
        <f>IF(C_MEAS="Sessions",INDEX($G$26:G305,MATCH(C305,$F$26:$F305,0)),
IF(C_MEAS="Total_Item_Requests",INDEX($H$26:$H305,MATCH(C305,$F$26:$F305,0)),
IF(C_MEAS="Unique_Item_Requests",INDEX($I$26:$I305,MATCH(C305,$F$26:$F305,0)),
IF(C_MEAS="Total_Item_Investigations",INDEX($J$26:$J305,MATCH(C305,$F$26:$F305,0)),
IF(C_MEAS="Unique_Item_Investigations",INDEX($K$26:$K305,MATCH(C305,$F$26:$F305,0)),
IF(C_MEAS="User",INDEX($L$26:$L305,MATCH(C305,$F$26:$F305,0))
))))))</f>
        <v>#N/A</v>
      </c>
      <c r="F305"/>
      <c r="G305"/>
      <c r="H305"/>
      <c r="I305"/>
      <c r="J305"/>
      <c r="K305"/>
      <c r="L305"/>
    </row>
    <row r="306" spans="3:12" x14ac:dyDescent="0.35">
      <c r="C306" s="9">
        <f t="array" ref="C306">_xlfn.UNIQUE(F306:F306)</f>
        <v>0</v>
      </c>
      <c r="D306" s="13" t="e">
        <f>IF(C_MEAS="Sessions",INDEX($G$26:G306,MATCH(C306,$F$26:$F306,0)),
IF(C_MEAS="Total_Item_Requests",INDEX($H$26:$H306,MATCH(C306,$F$26:$F306,0)),
IF(C_MEAS="Unique_Item_Requests",INDEX($I$26:$I306,MATCH(C306,$F$26:$F306,0)),
IF(C_MEAS="Total_Item_Investigations",INDEX($J$26:$J306,MATCH(C306,$F$26:$F306,0)),
IF(C_MEAS="Unique_Item_Investigations",INDEX($K$26:$K306,MATCH(C306,$F$26:$F306,0)),
IF(C_MEAS="User",INDEX($L$26:$L306,MATCH(C306,$F$26:$F306,0))
))))))</f>
        <v>#N/A</v>
      </c>
      <c r="F306"/>
      <c r="G306"/>
      <c r="H306"/>
      <c r="I306"/>
      <c r="J306"/>
      <c r="K306"/>
      <c r="L306"/>
    </row>
    <row r="307" spans="3:12" x14ac:dyDescent="0.35">
      <c r="C307" s="9">
        <f t="array" ref="C307">_xlfn.UNIQUE(F307:F307)</f>
        <v>0</v>
      </c>
      <c r="D307" s="13" t="e">
        <f>IF(C_MEAS="Sessions",INDEX($G$26:G307,MATCH(C307,$F$26:$F307,0)),
IF(C_MEAS="Total_Item_Requests",INDEX($H$26:$H307,MATCH(C307,$F$26:$F307,0)),
IF(C_MEAS="Unique_Item_Requests",INDEX($I$26:$I307,MATCH(C307,$F$26:$F307,0)),
IF(C_MEAS="Total_Item_Investigations",INDEX($J$26:$J307,MATCH(C307,$F$26:$F307,0)),
IF(C_MEAS="Unique_Item_Investigations",INDEX($K$26:$K307,MATCH(C307,$F$26:$F307,0)),
IF(C_MEAS="User",INDEX($L$26:$L307,MATCH(C307,$F$26:$F307,0))
))))))</f>
        <v>#N/A</v>
      </c>
      <c r="F307"/>
      <c r="G307"/>
      <c r="H307"/>
      <c r="I307"/>
      <c r="J307"/>
      <c r="K307"/>
      <c r="L307"/>
    </row>
    <row r="308" spans="3:12" x14ac:dyDescent="0.35">
      <c r="C308" s="9">
        <f t="array" ref="C308">_xlfn.UNIQUE(F308:F308)</f>
        <v>0</v>
      </c>
      <c r="D308" s="13" t="e">
        <f>IF(C_MEAS="Sessions",INDEX($G$26:G308,MATCH(C308,$F$26:$F308,0)),
IF(C_MEAS="Total_Item_Requests",INDEX($H$26:$H308,MATCH(C308,$F$26:$F308,0)),
IF(C_MEAS="Unique_Item_Requests",INDEX($I$26:$I308,MATCH(C308,$F$26:$F308,0)),
IF(C_MEAS="Total_Item_Investigations",INDEX($J$26:$J308,MATCH(C308,$F$26:$F308,0)),
IF(C_MEAS="Unique_Item_Investigations",INDEX($K$26:$K308,MATCH(C308,$F$26:$F308,0)),
IF(C_MEAS="User",INDEX($L$26:$L308,MATCH(C308,$F$26:$F308,0))
))))))</f>
        <v>#N/A</v>
      </c>
      <c r="F308"/>
      <c r="G308"/>
      <c r="H308"/>
      <c r="I308"/>
      <c r="J308"/>
      <c r="K308"/>
      <c r="L308"/>
    </row>
    <row r="309" spans="3:12" x14ac:dyDescent="0.35">
      <c r="C309" s="9">
        <f t="array" ref="C309">_xlfn.UNIQUE(F309:F309)</f>
        <v>0</v>
      </c>
      <c r="D309" s="13" t="e">
        <f>IF(C_MEAS="Sessions",INDEX($G$26:G309,MATCH(C309,$F$26:$F309,0)),
IF(C_MEAS="Total_Item_Requests",INDEX($H$26:$H309,MATCH(C309,$F$26:$F309,0)),
IF(C_MEAS="Unique_Item_Requests",INDEX($I$26:$I309,MATCH(C309,$F$26:$F309,0)),
IF(C_MEAS="Total_Item_Investigations",INDEX($J$26:$J309,MATCH(C309,$F$26:$F309,0)),
IF(C_MEAS="Unique_Item_Investigations",INDEX($K$26:$K309,MATCH(C309,$F$26:$F309,0)),
IF(C_MEAS="User",INDEX($L$26:$L309,MATCH(C309,$F$26:$F309,0))
))))))</f>
        <v>#N/A</v>
      </c>
      <c r="F309"/>
      <c r="G309"/>
      <c r="H309"/>
      <c r="I309"/>
      <c r="J309"/>
      <c r="K309"/>
      <c r="L309"/>
    </row>
    <row r="310" spans="3:12" x14ac:dyDescent="0.35">
      <c r="C310" s="9">
        <f t="array" ref="C310">_xlfn.UNIQUE(F310:F310)</f>
        <v>0</v>
      </c>
      <c r="D310" s="13" t="e">
        <f>IF(C_MEAS="Sessions",INDEX($G$26:G310,MATCH(C310,$F$26:$F310,0)),
IF(C_MEAS="Total_Item_Requests",INDEX($H$26:$H310,MATCH(C310,$F$26:$F310,0)),
IF(C_MEAS="Unique_Item_Requests",INDEX($I$26:$I310,MATCH(C310,$F$26:$F310,0)),
IF(C_MEAS="Total_Item_Investigations",INDEX($J$26:$J310,MATCH(C310,$F$26:$F310,0)),
IF(C_MEAS="Unique_Item_Investigations",INDEX($K$26:$K310,MATCH(C310,$F$26:$F310,0)),
IF(C_MEAS="User",INDEX($L$26:$L310,MATCH(C310,$F$26:$F310,0))
))))))</f>
        <v>#N/A</v>
      </c>
      <c r="F310"/>
      <c r="G310"/>
      <c r="H310"/>
      <c r="I310"/>
      <c r="J310"/>
      <c r="K310"/>
      <c r="L310"/>
    </row>
    <row r="311" spans="3:12" x14ac:dyDescent="0.35">
      <c r="C311" s="9">
        <f t="array" ref="C311">_xlfn.UNIQUE(F311:F311)</f>
        <v>0</v>
      </c>
      <c r="D311" s="13" t="e">
        <f>IF(C_MEAS="Sessions",INDEX($G$26:G311,MATCH(C311,$F$26:$F311,0)),
IF(C_MEAS="Total_Item_Requests",INDEX($H$26:$H311,MATCH(C311,$F$26:$F311,0)),
IF(C_MEAS="Unique_Item_Requests",INDEX($I$26:$I311,MATCH(C311,$F$26:$F311,0)),
IF(C_MEAS="Total_Item_Investigations",INDEX($J$26:$J311,MATCH(C311,$F$26:$F311,0)),
IF(C_MEAS="Unique_Item_Investigations",INDEX($K$26:$K311,MATCH(C311,$F$26:$F311,0)),
IF(C_MEAS="User",INDEX($L$26:$L311,MATCH(C311,$F$26:$F311,0))
))))))</f>
        <v>#N/A</v>
      </c>
      <c r="F311"/>
      <c r="G311"/>
      <c r="H311"/>
      <c r="I311"/>
      <c r="J311"/>
      <c r="K311"/>
      <c r="L311"/>
    </row>
    <row r="312" spans="3:12" x14ac:dyDescent="0.35">
      <c r="C312" s="9">
        <f t="array" ref="C312">_xlfn.UNIQUE(F312:F312)</f>
        <v>0</v>
      </c>
      <c r="D312" s="13" t="e">
        <f>IF(C_MEAS="Sessions",INDEX($G$26:G312,MATCH(C312,$F$26:$F312,0)),
IF(C_MEAS="Total_Item_Requests",INDEX($H$26:$H312,MATCH(C312,$F$26:$F312,0)),
IF(C_MEAS="Unique_Item_Requests",INDEX($I$26:$I312,MATCH(C312,$F$26:$F312,0)),
IF(C_MEAS="Total_Item_Investigations",INDEX($J$26:$J312,MATCH(C312,$F$26:$F312,0)),
IF(C_MEAS="Unique_Item_Investigations",INDEX($K$26:$K312,MATCH(C312,$F$26:$F312,0)),
IF(C_MEAS="User",INDEX($L$26:$L312,MATCH(C312,$F$26:$F312,0))
))))))</f>
        <v>#N/A</v>
      </c>
      <c r="F312"/>
      <c r="G312"/>
      <c r="H312"/>
      <c r="I312"/>
      <c r="J312"/>
      <c r="K312"/>
      <c r="L312"/>
    </row>
    <row r="313" spans="3:12" x14ac:dyDescent="0.35">
      <c r="C313" s="9">
        <f t="array" ref="C313">_xlfn.UNIQUE(F313:F313)</f>
        <v>0</v>
      </c>
      <c r="D313" s="13" t="e">
        <f>IF(C_MEAS="Sessions",INDEX($G$26:G313,MATCH(C313,$F$26:$F313,0)),
IF(C_MEAS="Total_Item_Requests",INDEX($H$26:$H313,MATCH(C313,$F$26:$F313,0)),
IF(C_MEAS="Unique_Item_Requests",INDEX($I$26:$I313,MATCH(C313,$F$26:$F313,0)),
IF(C_MEAS="Total_Item_Investigations",INDEX($J$26:$J313,MATCH(C313,$F$26:$F313,0)),
IF(C_MEAS="Unique_Item_Investigations",INDEX($K$26:$K313,MATCH(C313,$F$26:$F313,0)),
IF(C_MEAS="User",INDEX($L$26:$L313,MATCH(C313,$F$26:$F313,0))
))))))</f>
        <v>#N/A</v>
      </c>
      <c r="F313"/>
      <c r="G313"/>
      <c r="H313"/>
      <c r="I313"/>
      <c r="J313"/>
      <c r="K313"/>
      <c r="L313"/>
    </row>
    <row r="314" spans="3:12" x14ac:dyDescent="0.35">
      <c r="C314" s="9">
        <f t="array" ref="C314">_xlfn.UNIQUE(F314:F314)</f>
        <v>0</v>
      </c>
      <c r="D314" s="13" t="e">
        <f>IF(C_MEAS="Sessions",INDEX($G$26:G314,MATCH(C314,$F$26:$F314,0)),
IF(C_MEAS="Total_Item_Requests",INDEX($H$26:$H314,MATCH(C314,$F$26:$F314,0)),
IF(C_MEAS="Unique_Item_Requests",INDEX($I$26:$I314,MATCH(C314,$F$26:$F314,0)),
IF(C_MEAS="Total_Item_Investigations",INDEX($J$26:$J314,MATCH(C314,$F$26:$F314,0)),
IF(C_MEAS="Unique_Item_Investigations",INDEX($K$26:$K314,MATCH(C314,$F$26:$F314,0)),
IF(C_MEAS="User",INDEX($L$26:$L314,MATCH(C314,$F$26:$F314,0))
))))))</f>
        <v>#N/A</v>
      </c>
      <c r="F314"/>
      <c r="G314"/>
      <c r="H314"/>
      <c r="I314"/>
      <c r="J314"/>
      <c r="K314"/>
      <c r="L314"/>
    </row>
    <row r="315" spans="3:12" x14ac:dyDescent="0.35">
      <c r="C315" s="9">
        <f t="array" ref="C315">_xlfn.UNIQUE(F315:F315)</f>
        <v>0</v>
      </c>
      <c r="D315" s="13" t="e">
        <f>IF(C_MEAS="Sessions",INDEX($G$26:G315,MATCH(C315,$F$26:$F315,0)),
IF(C_MEAS="Total_Item_Requests",INDEX($H$26:$H315,MATCH(C315,$F$26:$F315,0)),
IF(C_MEAS="Unique_Item_Requests",INDEX($I$26:$I315,MATCH(C315,$F$26:$F315,0)),
IF(C_MEAS="Total_Item_Investigations",INDEX($J$26:$J315,MATCH(C315,$F$26:$F315,0)),
IF(C_MEAS="Unique_Item_Investigations",INDEX($K$26:$K315,MATCH(C315,$F$26:$F315,0)),
IF(C_MEAS="User",INDEX($L$26:$L315,MATCH(C315,$F$26:$F315,0))
))))))</f>
        <v>#N/A</v>
      </c>
      <c r="F315"/>
      <c r="G315"/>
      <c r="H315"/>
      <c r="I315"/>
      <c r="J315"/>
      <c r="K315"/>
      <c r="L315"/>
    </row>
    <row r="316" spans="3:12" x14ac:dyDescent="0.35">
      <c r="C316" s="9">
        <f t="array" ref="C316">_xlfn.UNIQUE(F316:F316)</f>
        <v>0</v>
      </c>
      <c r="D316" s="13" t="e">
        <f>IF(C_MEAS="Sessions",INDEX($G$26:G316,MATCH(C316,$F$26:$F316,0)),
IF(C_MEAS="Total_Item_Requests",INDEX($H$26:$H316,MATCH(C316,$F$26:$F316,0)),
IF(C_MEAS="Unique_Item_Requests",INDEX($I$26:$I316,MATCH(C316,$F$26:$F316,0)),
IF(C_MEAS="Total_Item_Investigations",INDEX($J$26:$J316,MATCH(C316,$F$26:$F316,0)),
IF(C_MEAS="Unique_Item_Investigations",INDEX($K$26:$K316,MATCH(C316,$F$26:$F316,0)),
IF(C_MEAS="User",INDEX($L$26:$L316,MATCH(C316,$F$26:$F316,0))
))))))</f>
        <v>#N/A</v>
      </c>
      <c r="F316"/>
      <c r="G316"/>
      <c r="H316"/>
      <c r="I316"/>
      <c r="J316"/>
      <c r="K316"/>
      <c r="L316"/>
    </row>
    <row r="317" spans="3:12" x14ac:dyDescent="0.35">
      <c r="C317" s="9">
        <f t="array" ref="C317">_xlfn.UNIQUE(F317:F317)</f>
        <v>0</v>
      </c>
      <c r="D317" s="13" t="e">
        <f>IF(C_MEAS="Sessions",INDEX($G$26:G317,MATCH(C317,$F$26:$F317,0)),
IF(C_MEAS="Total_Item_Requests",INDEX($H$26:$H317,MATCH(C317,$F$26:$F317,0)),
IF(C_MEAS="Unique_Item_Requests",INDEX($I$26:$I317,MATCH(C317,$F$26:$F317,0)),
IF(C_MEAS="Total_Item_Investigations",INDEX($J$26:$J317,MATCH(C317,$F$26:$F317,0)),
IF(C_MEAS="Unique_Item_Investigations",INDEX($K$26:$K317,MATCH(C317,$F$26:$F317,0)),
IF(C_MEAS="User",INDEX($L$26:$L317,MATCH(C317,$F$26:$F317,0))
))))))</f>
        <v>#N/A</v>
      </c>
      <c r="F317"/>
      <c r="G317"/>
      <c r="H317"/>
      <c r="I317"/>
      <c r="J317"/>
      <c r="K317"/>
      <c r="L317"/>
    </row>
    <row r="318" spans="3:12" x14ac:dyDescent="0.35">
      <c r="C318" s="9">
        <f t="array" ref="C318">_xlfn.UNIQUE(F318:F318)</f>
        <v>0</v>
      </c>
      <c r="D318" s="13" t="e">
        <f>IF(C_MEAS="Sessions",INDEX($G$26:G318,MATCH(C318,$F$26:$F318,0)),
IF(C_MEAS="Total_Item_Requests",INDEX($H$26:$H318,MATCH(C318,$F$26:$F318,0)),
IF(C_MEAS="Unique_Item_Requests",INDEX($I$26:$I318,MATCH(C318,$F$26:$F318,0)),
IF(C_MEAS="Total_Item_Investigations",INDEX($J$26:$J318,MATCH(C318,$F$26:$F318,0)),
IF(C_MEAS="Unique_Item_Investigations",INDEX($K$26:$K318,MATCH(C318,$F$26:$F318,0)),
IF(C_MEAS="User",INDEX($L$26:$L318,MATCH(C318,$F$26:$F318,0))
))))))</f>
        <v>#N/A</v>
      </c>
      <c r="F318"/>
      <c r="G318"/>
      <c r="H318"/>
      <c r="I318"/>
      <c r="J318"/>
      <c r="K318"/>
      <c r="L318"/>
    </row>
    <row r="319" spans="3:12" x14ac:dyDescent="0.35">
      <c r="C319" s="9">
        <f t="array" ref="C319">_xlfn.UNIQUE(F319:F319)</f>
        <v>0</v>
      </c>
      <c r="D319" s="13" t="e">
        <f>IF(C_MEAS="Sessions",INDEX($G$26:G319,MATCH(C319,$F$26:$F319,0)),
IF(C_MEAS="Total_Item_Requests",INDEX($H$26:$H319,MATCH(C319,$F$26:$F319,0)),
IF(C_MEAS="Unique_Item_Requests",INDEX($I$26:$I319,MATCH(C319,$F$26:$F319,0)),
IF(C_MEAS="Total_Item_Investigations",INDEX($J$26:$J319,MATCH(C319,$F$26:$F319,0)),
IF(C_MEAS="Unique_Item_Investigations",INDEX($K$26:$K319,MATCH(C319,$F$26:$F319,0)),
IF(C_MEAS="User",INDEX($L$26:$L319,MATCH(C319,$F$26:$F319,0))
))))))</f>
        <v>#N/A</v>
      </c>
      <c r="F319"/>
      <c r="G319"/>
      <c r="H319"/>
      <c r="I319"/>
      <c r="J319"/>
      <c r="K319"/>
      <c r="L319"/>
    </row>
    <row r="320" spans="3:12" x14ac:dyDescent="0.35">
      <c r="C320" s="9">
        <f t="array" ref="C320">_xlfn.UNIQUE(F320:F320)</f>
        <v>0</v>
      </c>
      <c r="D320" s="13" t="e">
        <f>IF(C_MEAS="Sessions",INDEX($G$26:G320,MATCH(C320,$F$26:$F320,0)),
IF(C_MEAS="Total_Item_Requests",INDEX($H$26:$H320,MATCH(C320,$F$26:$F320,0)),
IF(C_MEAS="Unique_Item_Requests",INDEX($I$26:$I320,MATCH(C320,$F$26:$F320,0)),
IF(C_MEAS="Total_Item_Investigations",INDEX($J$26:$J320,MATCH(C320,$F$26:$F320,0)),
IF(C_MEAS="Unique_Item_Investigations",INDEX($K$26:$K320,MATCH(C320,$F$26:$F320,0)),
IF(C_MEAS="User",INDEX($L$26:$L320,MATCH(C320,$F$26:$F320,0))
))))))</f>
        <v>#N/A</v>
      </c>
      <c r="F320"/>
      <c r="G320"/>
      <c r="H320"/>
      <c r="I320"/>
      <c r="J320"/>
      <c r="K320"/>
      <c r="L320"/>
    </row>
    <row r="321" spans="3:12" x14ac:dyDescent="0.35">
      <c r="C321" s="9">
        <f t="array" ref="C321">_xlfn.UNIQUE(F321:F321)</f>
        <v>0</v>
      </c>
      <c r="D321" s="13" t="e">
        <f>IF(C_MEAS="Sessions",INDEX($G$26:G321,MATCH(C321,$F$26:$F321,0)),
IF(C_MEAS="Total_Item_Requests",INDEX($H$26:$H321,MATCH(C321,$F$26:$F321,0)),
IF(C_MEAS="Unique_Item_Requests",INDEX($I$26:$I321,MATCH(C321,$F$26:$F321,0)),
IF(C_MEAS="Total_Item_Investigations",INDEX($J$26:$J321,MATCH(C321,$F$26:$F321,0)),
IF(C_MEAS="Unique_Item_Investigations",INDEX($K$26:$K321,MATCH(C321,$F$26:$F321,0)),
IF(C_MEAS="User",INDEX($L$26:$L321,MATCH(C321,$F$26:$F321,0))
))))))</f>
        <v>#N/A</v>
      </c>
      <c r="F321"/>
      <c r="G321"/>
      <c r="H321"/>
      <c r="I321"/>
      <c r="J321"/>
      <c r="K321"/>
      <c r="L321"/>
    </row>
    <row r="322" spans="3:12" x14ac:dyDescent="0.35">
      <c r="C322" s="9">
        <f t="array" ref="C322">_xlfn.UNIQUE(F322:F322)</f>
        <v>0</v>
      </c>
      <c r="D322" s="13" t="e">
        <f>IF(C_MEAS="Sessions",INDEX($G$26:G322,MATCH(C322,$F$26:$F322,0)),
IF(C_MEAS="Total_Item_Requests",INDEX($H$26:$H322,MATCH(C322,$F$26:$F322,0)),
IF(C_MEAS="Unique_Item_Requests",INDEX($I$26:$I322,MATCH(C322,$F$26:$F322,0)),
IF(C_MEAS="Total_Item_Investigations",INDEX($J$26:$J322,MATCH(C322,$F$26:$F322,0)),
IF(C_MEAS="Unique_Item_Investigations",INDEX($K$26:$K322,MATCH(C322,$F$26:$F322,0)),
IF(C_MEAS="User",INDEX($L$26:$L322,MATCH(C322,$F$26:$F322,0))
))))))</f>
        <v>#N/A</v>
      </c>
      <c r="F322"/>
      <c r="G322"/>
      <c r="H322"/>
      <c r="I322"/>
      <c r="J322"/>
      <c r="K322"/>
      <c r="L322"/>
    </row>
    <row r="323" spans="3:12" x14ac:dyDescent="0.35">
      <c r="C323" s="9">
        <f t="array" ref="C323">_xlfn.UNIQUE(F323:F323)</f>
        <v>0</v>
      </c>
      <c r="D323" s="13" t="e">
        <f>IF(C_MEAS="Sessions",INDEX($G$26:G323,MATCH(C323,$F$26:$F323,0)),
IF(C_MEAS="Total_Item_Requests",INDEX($H$26:$H323,MATCH(C323,$F$26:$F323,0)),
IF(C_MEAS="Unique_Item_Requests",INDEX($I$26:$I323,MATCH(C323,$F$26:$F323,0)),
IF(C_MEAS="Total_Item_Investigations",INDEX($J$26:$J323,MATCH(C323,$F$26:$F323,0)),
IF(C_MEAS="Unique_Item_Investigations",INDEX($K$26:$K323,MATCH(C323,$F$26:$F323,0)),
IF(C_MEAS="User",INDEX($L$26:$L323,MATCH(C323,$F$26:$F323,0))
))))))</f>
        <v>#N/A</v>
      </c>
      <c r="F323"/>
      <c r="G323"/>
      <c r="H323"/>
      <c r="I323"/>
      <c r="J323"/>
      <c r="K323"/>
      <c r="L323"/>
    </row>
    <row r="324" spans="3:12" x14ac:dyDescent="0.35">
      <c r="C324" s="9">
        <f t="array" ref="C324">_xlfn.UNIQUE(F324:F324)</f>
        <v>0</v>
      </c>
      <c r="D324" s="13" t="e">
        <f>IF(C_MEAS="Sessions",INDEX($G$26:G324,MATCH(C324,$F$26:$F324,0)),
IF(C_MEAS="Total_Item_Requests",INDEX($H$26:$H324,MATCH(C324,$F$26:$F324,0)),
IF(C_MEAS="Unique_Item_Requests",INDEX($I$26:$I324,MATCH(C324,$F$26:$F324,0)),
IF(C_MEAS="Total_Item_Investigations",INDEX($J$26:$J324,MATCH(C324,$F$26:$F324,0)),
IF(C_MEAS="Unique_Item_Investigations",INDEX($K$26:$K324,MATCH(C324,$F$26:$F324,0)),
IF(C_MEAS="User",INDEX($L$26:$L324,MATCH(C324,$F$26:$F324,0))
))))))</f>
        <v>#N/A</v>
      </c>
      <c r="F324"/>
      <c r="G324"/>
      <c r="H324"/>
      <c r="I324"/>
      <c r="J324"/>
      <c r="K324"/>
      <c r="L324"/>
    </row>
    <row r="325" spans="3:12" x14ac:dyDescent="0.35">
      <c r="C325" s="9">
        <f t="array" ref="C325">_xlfn.UNIQUE(F325:F325)</f>
        <v>0</v>
      </c>
      <c r="D325" s="13" t="e">
        <f>IF(C_MEAS="Sessions",INDEX($G$26:G325,MATCH(C325,$F$26:$F325,0)),
IF(C_MEAS="Total_Item_Requests",INDEX($H$26:$H325,MATCH(C325,$F$26:$F325,0)),
IF(C_MEAS="Unique_Item_Requests",INDEX($I$26:$I325,MATCH(C325,$F$26:$F325,0)),
IF(C_MEAS="Total_Item_Investigations",INDEX($J$26:$J325,MATCH(C325,$F$26:$F325,0)),
IF(C_MEAS="Unique_Item_Investigations",INDEX($K$26:$K325,MATCH(C325,$F$26:$F325,0)),
IF(C_MEAS="User",INDEX($L$26:$L325,MATCH(C325,$F$26:$F325,0))
))))))</f>
        <v>#N/A</v>
      </c>
      <c r="F325"/>
      <c r="G325"/>
      <c r="H325"/>
      <c r="I325"/>
      <c r="J325"/>
      <c r="K325"/>
      <c r="L325"/>
    </row>
    <row r="326" spans="3:12" x14ac:dyDescent="0.35">
      <c r="C326" s="9">
        <f t="array" ref="C326">_xlfn.UNIQUE(F326:F326)</f>
        <v>0</v>
      </c>
      <c r="D326" s="13" t="e">
        <f>IF(C_MEAS="Sessions",INDEX($G$26:G326,MATCH(C326,$F$26:$F326,0)),
IF(C_MEAS="Total_Item_Requests",INDEX($H$26:$H326,MATCH(C326,$F$26:$F326,0)),
IF(C_MEAS="Unique_Item_Requests",INDEX($I$26:$I326,MATCH(C326,$F$26:$F326,0)),
IF(C_MEAS="Total_Item_Investigations",INDEX($J$26:$J326,MATCH(C326,$F$26:$F326,0)),
IF(C_MEAS="Unique_Item_Investigations",INDEX($K$26:$K326,MATCH(C326,$F$26:$F326,0)),
IF(C_MEAS="User",INDEX($L$26:$L326,MATCH(C326,$F$26:$F326,0))
))))))</f>
        <v>#N/A</v>
      </c>
      <c r="F326"/>
      <c r="G326"/>
      <c r="H326"/>
      <c r="I326"/>
      <c r="J326"/>
      <c r="K326"/>
      <c r="L326"/>
    </row>
    <row r="327" spans="3:12" x14ac:dyDescent="0.35">
      <c r="C327" s="9">
        <f t="array" ref="C327">_xlfn.UNIQUE(F327:F327)</f>
        <v>0</v>
      </c>
      <c r="D327" s="13" t="e">
        <f>IF(C_MEAS="Sessions",INDEX($G$26:G327,MATCH(C327,$F$26:$F327,0)),
IF(C_MEAS="Total_Item_Requests",INDEX($H$26:$H327,MATCH(C327,$F$26:$F327,0)),
IF(C_MEAS="Unique_Item_Requests",INDEX($I$26:$I327,MATCH(C327,$F$26:$F327,0)),
IF(C_MEAS="Total_Item_Investigations",INDEX($J$26:$J327,MATCH(C327,$F$26:$F327,0)),
IF(C_MEAS="Unique_Item_Investigations",INDEX($K$26:$K327,MATCH(C327,$F$26:$F327,0)),
IF(C_MEAS="User",INDEX($L$26:$L327,MATCH(C327,$F$26:$F327,0))
))))))</f>
        <v>#N/A</v>
      </c>
      <c r="F327"/>
      <c r="G327"/>
      <c r="H327"/>
      <c r="I327"/>
      <c r="J327"/>
      <c r="K327"/>
      <c r="L327"/>
    </row>
    <row r="328" spans="3:12" x14ac:dyDescent="0.35">
      <c r="C328" s="9">
        <f t="array" ref="C328">_xlfn.UNIQUE(F328:F328)</f>
        <v>0</v>
      </c>
      <c r="D328" s="13" t="e">
        <f>IF(C_MEAS="Sessions",INDEX($G$26:G328,MATCH(C328,$F$26:$F328,0)),
IF(C_MEAS="Total_Item_Requests",INDEX($H$26:$H328,MATCH(C328,$F$26:$F328,0)),
IF(C_MEAS="Unique_Item_Requests",INDEX($I$26:$I328,MATCH(C328,$F$26:$F328,0)),
IF(C_MEAS="Total_Item_Investigations",INDEX($J$26:$J328,MATCH(C328,$F$26:$F328,0)),
IF(C_MEAS="Unique_Item_Investigations",INDEX($K$26:$K328,MATCH(C328,$F$26:$F328,0)),
IF(C_MEAS="User",INDEX($L$26:$L328,MATCH(C328,$F$26:$F328,0))
))))))</f>
        <v>#N/A</v>
      </c>
      <c r="F328"/>
      <c r="G328"/>
      <c r="H328"/>
      <c r="I328"/>
      <c r="J328"/>
      <c r="K328"/>
      <c r="L328"/>
    </row>
    <row r="329" spans="3:12" x14ac:dyDescent="0.35">
      <c r="C329" s="9">
        <f t="array" ref="C329">_xlfn.UNIQUE(F329:F329)</f>
        <v>0</v>
      </c>
      <c r="D329" s="13" t="e">
        <f>IF(C_MEAS="Sessions",INDEX($G$26:G329,MATCH(C329,$F$26:$F329,0)),
IF(C_MEAS="Total_Item_Requests",INDEX($H$26:$H329,MATCH(C329,$F$26:$F329,0)),
IF(C_MEAS="Unique_Item_Requests",INDEX($I$26:$I329,MATCH(C329,$F$26:$F329,0)),
IF(C_MEAS="Total_Item_Investigations",INDEX($J$26:$J329,MATCH(C329,$F$26:$F329,0)),
IF(C_MEAS="Unique_Item_Investigations",INDEX($K$26:$K329,MATCH(C329,$F$26:$F329,0)),
IF(C_MEAS="User",INDEX($L$26:$L329,MATCH(C329,$F$26:$F329,0))
))))))</f>
        <v>#N/A</v>
      </c>
      <c r="F329"/>
      <c r="G329"/>
      <c r="H329"/>
      <c r="I329"/>
      <c r="J329"/>
      <c r="K329"/>
      <c r="L329"/>
    </row>
    <row r="330" spans="3:12" x14ac:dyDescent="0.35">
      <c r="C330" s="9">
        <f t="array" ref="C330">_xlfn.UNIQUE(F330:F330)</f>
        <v>0</v>
      </c>
      <c r="D330" s="13" t="e">
        <f>IF(C_MEAS="Sessions",INDEX($G$26:G330,MATCH(C330,$F$26:$F330,0)),
IF(C_MEAS="Total_Item_Requests",INDEX($H$26:$H330,MATCH(C330,$F$26:$F330,0)),
IF(C_MEAS="Unique_Item_Requests",INDEX($I$26:$I330,MATCH(C330,$F$26:$F330,0)),
IF(C_MEAS="Total_Item_Investigations",INDEX($J$26:$J330,MATCH(C330,$F$26:$F330,0)),
IF(C_MEAS="Unique_Item_Investigations",INDEX($K$26:$K330,MATCH(C330,$F$26:$F330,0)),
IF(C_MEAS="User",INDEX($L$26:$L330,MATCH(C330,$F$26:$F330,0))
))))))</f>
        <v>#N/A</v>
      </c>
      <c r="F330"/>
      <c r="G330"/>
      <c r="H330"/>
      <c r="I330"/>
      <c r="J330"/>
      <c r="K330"/>
      <c r="L330"/>
    </row>
    <row r="331" spans="3:12" x14ac:dyDescent="0.35">
      <c r="C331" s="9">
        <f t="array" ref="C331">_xlfn.UNIQUE(F331:F331)</f>
        <v>0</v>
      </c>
      <c r="D331" s="13" t="e">
        <f>IF(C_MEAS="Sessions",INDEX($G$26:G331,MATCH(C331,$F$26:$F331,0)),
IF(C_MEAS="Total_Item_Requests",INDEX($H$26:$H331,MATCH(C331,$F$26:$F331,0)),
IF(C_MEAS="Unique_Item_Requests",INDEX($I$26:$I331,MATCH(C331,$F$26:$F331,0)),
IF(C_MEAS="Total_Item_Investigations",INDEX($J$26:$J331,MATCH(C331,$F$26:$F331,0)),
IF(C_MEAS="Unique_Item_Investigations",INDEX($K$26:$K331,MATCH(C331,$F$26:$F331,0)),
IF(C_MEAS="User",INDEX($L$26:$L331,MATCH(C331,$F$26:$F331,0))
))))))</f>
        <v>#N/A</v>
      </c>
      <c r="F331"/>
      <c r="G331"/>
      <c r="H331"/>
      <c r="I331"/>
      <c r="J331"/>
      <c r="K331"/>
      <c r="L331"/>
    </row>
    <row r="332" spans="3:12" x14ac:dyDescent="0.35">
      <c r="C332" s="9">
        <f t="array" ref="C332">_xlfn.UNIQUE(F332:F332)</f>
        <v>0</v>
      </c>
      <c r="D332" s="13" t="e">
        <f>IF(C_MEAS="Sessions",INDEX($G$26:G332,MATCH(C332,$F$26:$F332,0)),
IF(C_MEAS="Total_Item_Requests",INDEX($H$26:$H332,MATCH(C332,$F$26:$F332,0)),
IF(C_MEAS="Unique_Item_Requests",INDEX($I$26:$I332,MATCH(C332,$F$26:$F332,0)),
IF(C_MEAS="Total_Item_Investigations",INDEX($J$26:$J332,MATCH(C332,$F$26:$F332,0)),
IF(C_MEAS="Unique_Item_Investigations",INDEX($K$26:$K332,MATCH(C332,$F$26:$F332,0)),
IF(C_MEAS="User",INDEX($L$26:$L332,MATCH(C332,$F$26:$F332,0))
))))))</f>
        <v>#N/A</v>
      </c>
      <c r="F332"/>
      <c r="G332"/>
      <c r="H332"/>
      <c r="I332"/>
      <c r="J332"/>
      <c r="K332"/>
      <c r="L332"/>
    </row>
    <row r="333" spans="3:12" x14ac:dyDescent="0.35">
      <c r="C333" s="9">
        <f t="array" ref="C333">_xlfn.UNIQUE(F333:F333)</f>
        <v>0</v>
      </c>
      <c r="D333" s="13" t="e">
        <f>IF(C_MEAS="Sessions",INDEX($G$26:G333,MATCH(C333,$F$26:$F333,0)),
IF(C_MEAS="Total_Item_Requests",INDEX($H$26:$H333,MATCH(C333,$F$26:$F333,0)),
IF(C_MEAS="Unique_Item_Requests",INDEX($I$26:$I333,MATCH(C333,$F$26:$F333,0)),
IF(C_MEAS="Total_Item_Investigations",INDEX($J$26:$J333,MATCH(C333,$F$26:$F333,0)),
IF(C_MEAS="Unique_Item_Investigations",INDEX($K$26:$K333,MATCH(C333,$F$26:$F333,0)),
IF(C_MEAS="User",INDEX($L$26:$L333,MATCH(C333,$F$26:$F333,0))
))))))</f>
        <v>#N/A</v>
      </c>
      <c r="F333"/>
      <c r="G333"/>
      <c r="H333"/>
      <c r="I333"/>
      <c r="J333"/>
      <c r="K333"/>
      <c r="L333"/>
    </row>
    <row r="334" spans="3:12" x14ac:dyDescent="0.35">
      <c r="C334" s="9">
        <f t="array" ref="C334">_xlfn.UNIQUE(F334:F334)</f>
        <v>0</v>
      </c>
      <c r="D334" s="13" t="e">
        <f>IF(C_MEAS="Sessions",INDEX($G$26:G334,MATCH(C334,$F$26:$F334,0)),
IF(C_MEAS="Total_Item_Requests",INDEX($H$26:$H334,MATCH(C334,$F$26:$F334,0)),
IF(C_MEAS="Unique_Item_Requests",INDEX($I$26:$I334,MATCH(C334,$F$26:$F334,0)),
IF(C_MEAS="Total_Item_Investigations",INDEX($J$26:$J334,MATCH(C334,$F$26:$F334,0)),
IF(C_MEAS="Unique_Item_Investigations",INDEX($K$26:$K334,MATCH(C334,$F$26:$F334,0)),
IF(C_MEAS="User",INDEX($L$26:$L334,MATCH(C334,$F$26:$F334,0))
))))))</f>
        <v>#N/A</v>
      </c>
      <c r="F334"/>
      <c r="G334"/>
      <c r="H334"/>
      <c r="I334"/>
      <c r="J334"/>
      <c r="K334"/>
      <c r="L334"/>
    </row>
    <row r="335" spans="3:12" x14ac:dyDescent="0.35">
      <c r="C335" s="9">
        <f t="array" ref="C335">_xlfn.UNIQUE(F335:F335)</f>
        <v>0</v>
      </c>
      <c r="D335" s="13" t="e">
        <f>IF(C_MEAS="Sessions",INDEX($G$26:G335,MATCH(C335,$F$26:$F335,0)),
IF(C_MEAS="Total_Item_Requests",INDEX($H$26:$H335,MATCH(C335,$F$26:$F335,0)),
IF(C_MEAS="Unique_Item_Requests",INDEX($I$26:$I335,MATCH(C335,$F$26:$F335,0)),
IF(C_MEAS="Total_Item_Investigations",INDEX($J$26:$J335,MATCH(C335,$F$26:$F335,0)),
IF(C_MEAS="Unique_Item_Investigations",INDEX($K$26:$K335,MATCH(C335,$F$26:$F335,0)),
IF(C_MEAS="User",INDEX($L$26:$L335,MATCH(C335,$F$26:$F335,0))
))))))</f>
        <v>#N/A</v>
      </c>
      <c r="F335"/>
      <c r="G335"/>
      <c r="H335"/>
      <c r="I335"/>
      <c r="J335"/>
      <c r="K335"/>
      <c r="L335"/>
    </row>
    <row r="336" spans="3:12" x14ac:dyDescent="0.35">
      <c r="C336" s="9">
        <f t="array" ref="C336">_xlfn.UNIQUE(F336:F336)</f>
        <v>0</v>
      </c>
      <c r="D336" s="13" t="e">
        <f>IF(C_MEAS="Sessions",INDEX($G$26:G336,MATCH(C336,$F$26:$F336,0)),
IF(C_MEAS="Total_Item_Requests",INDEX($H$26:$H336,MATCH(C336,$F$26:$F336,0)),
IF(C_MEAS="Unique_Item_Requests",INDEX($I$26:$I336,MATCH(C336,$F$26:$F336,0)),
IF(C_MEAS="Total_Item_Investigations",INDEX($J$26:$J336,MATCH(C336,$F$26:$F336,0)),
IF(C_MEAS="Unique_Item_Investigations",INDEX($K$26:$K336,MATCH(C336,$F$26:$F336,0)),
IF(C_MEAS="User",INDEX($L$26:$L336,MATCH(C336,$F$26:$F336,0))
))))))</f>
        <v>#N/A</v>
      </c>
      <c r="F336"/>
      <c r="G336"/>
      <c r="H336"/>
      <c r="I336"/>
      <c r="J336"/>
      <c r="K336"/>
      <c r="L336"/>
    </row>
    <row r="337" spans="3:12" x14ac:dyDescent="0.35">
      <c r="C337" s="9">
        <f t="array" ref="C337">_xlfn.UNIQUE(F337:F337)</f>
        <v>0</v>
      </c>
      <c r="D337" s="13" t="e">
        <f>IF(C_MEAS="Sessions",INDEX($G$26:G337,MATCH(C337,$F$26:$F337,0)),
IF(C_MEAS="Total_Item_Requests",INDEX($H$26:$H337,MATCH(C337,$F$26:$F337,0)),
IF(C_MEAS="Unique_Item_Requests",INDEX($I$26:$I337,MATCH(C337,$F$26:$F337,0)),
IF(C_MEAS="Total_Item_Investigations",INDEX($J$26:$J337,MATCH(C337,$F$26:$F337,0)),
IF(C_MEAS="Unique_Item_Investigations",INDEX($K$26:$K337,MATCH(C337,$F$26:$F337,0)),
IF(C_MEAS="User",INDEX($L$26:$L337,MATCH(C337,$F$26:$F337,0))
))))))</f>
        <v>#N/A</v>
      </c>
      <c r="F337"/>
      <c r="G337"/>
      <c r="H337"/>
      <c r="I337"/>
      <c r="J337"/>
      <c r="K337"/>
      <c r="L337"/>
    </row>
    <row r="338" spans="3:12" x14ac:dyDescent="0.35">
      <c r="C338" s="9">
        <f t="array" ref="C338">_xlfn.UNIQUE(F338:F338)</f>
        <v>0</v>
      </c>
      <c r="D338" s="13" t="e">
        <f>IF(C_MEAS="Sessions",INDEX($G$26:G338,MATCH(C338,$F$26:$F338,0)),
IF(C_MEAS="Total_Item_Requests",INDEX($H$26:$H338,MATCH(C338,$F$26:$F338,0)),
IF(C_MEAS="Unique_Item_Requests",INDEX($I$26:$I338,MATCH(C338,$F$26:$F338,0)),
IF(C_MEAS="Total_Item_Investigations",INDEX($J$26:$J338,MATCH(C338,$F$26:$F338,0)),
IF(C_MEAS="Unique_Item_Investigations",INDEX($K$26:$K338,MATCH(C338,$F$26:$F338,0)),
IF(C_MEAS="User",INDEX($L$26:$L338,MATCH(C338,$F$26:$F338,0))
))))))</f>
        <v>#N/A</v>
      </c>
      <c r="F338"/>
      <c r="G338"/>
      <c r="H338"/>
      <c r="I338"/>
      <c r="J338"/>
      <c r="K338"/>
      <c r="L338"/>
    </row>
    <row r="339" spans="3:12" x14ac:dyDescent="0.35">
      <c r="C339" s="9">
        <f t="array" ref="C339">_xlfn.UNIQUE(F339:F339)</f>
        <v>0</v>
      </c>
      <c r="D339" s="13" t="e">
        <f>IF(C_MEAS="Sessions",INDEX($G$26:G339,MATCH(C339,$F$26:$F339,0)),
IF(C_MEAS="Total_Item_Requests",INDEX($H$26:$H339,MATCH(C339,$F$26:$F339,0)),
IF(C_MEAS="Unique_Item_Requests",INDEX($I$26:$I339,MATCH(C339,$F$26:$F339,0)),
IF(C_MEAS="Total_Item_Investigations",INDEX($J$26:$J339,MATCH(C339,$F$26:$F339,0)),
IF(C_MEAS="Unique_Item_Investigations",INDEX($K$26:$K339,MATCH(C339,$F$26:$F339,0)),
IF(C_MEAS="User",INDEX($L$26:$L339,MATCH(C339,$F$26:$F339,0))
))))))</f>
        <v>#N/A</v>
      </c>
      <c r="F339"/>
      <c r="G339"/>
      <c r="H339"/>
      <c r="I339"/>
      <c r="J339"/>
      <c r="K339"/>
      <c r="L339"/>
    </row>
    <row r="340" spans="3:12" x14ac:dyDescent="0.35">
      <c r="C340" s="9">
        <f t="array" ref="C340">_xlfn.UNIQUE(F340:F340)</f>
        <v>0</v>
      </c>
      <c r="D340" s="13" t="e">
        <f>IF(C_MEAS="Sessions",INDEX($G$26:G340,MATCH(C340,$F$26:$F340,0)),
IF(C_MEAS="Total_Item_Requests",INDEX($H$26:$H340,MATCH(C340,$F$26:$F340,0)),
IF(C_MEAS="Unique_Item_Requests",INDEX($I$26:$I340,MATCH(C340,$F$26:$F340,0)),
IF(C_MEAS="Total_Item_Investigations",INDEX($J$26:$J340,MATCH(C340,$F$26:$F340,0)),
IF(C_MEAS="Unique_Item_Investigations",INDEX($K$26:$K340,MATCH(C340,$F$26:$F340,0)),
IF(C_MEAS="User",INDEX($L$26:$L340,MATCH(C340,$F$26:$F340,0))
))))))</f>
        <v>#N/A</v>
      </c>
      <c r="F340"/>
      <c r="G340"/>
      <c r="H340"/>
      <c r="I340"/>
      <c r="J340"/>
      <c r="K340"/>
      <c r="L340"/>
    </row>
    <row r="341" spans="3:12" x14ac:dyDescent="0.35">
      <c r="C341" s="9">
        <f t="array" ref="C341">_xlfn.UNIQUE(F341:F341)</f>
        <v>0</v>
      </c>
      <c r="D341" s="13" t="e">
        <f>IF(C_MEAS="Sessions",INDEX($G$26:G341,MATCH(C341,$F$26:$F341,0)),
IF(C_MEAS="Total_Item_Requests",INDEX($H$26:$H341,MATCH(C341,$F$26:$F341,0)),
IF(C_MEAS="Unique_Item_Requests",INDEX($I$26:$I341,MATCH(C341,$F$26:$F341,0)),
IF(C_MEAS="Total_Item_Investigations",INDEX($J$26:$J341,MATCH(C341,$F$26:$F341,0)),
IF(C_MEAS="Unique_Item_Investigations",INDEX($K$26:$K341,MATCH(C341,$F$26:$F341,0)),
IF(C_MEAS="User",INDEX($L$26:$L341,MATCH(C341,$F$26:$F341,0))
))))))</f>
        <v>#N/A</v>
      </c>
      <c r="F341"/>
      <c r="G341"/>
      <c r="H341"/>
      <c r="I341"/>
      <c r="J341"/>
      <c r="K341"/>
      <c r="L341"/>
    </row>
    <row r="342" spans="3:12" x14ac:dyDescent="0.35">
      <c r="C342" s="9">
        <f t="array" ref="C342">_xlfn.UNIQUE(F342:F342)</f>
        <v>0</v>
      </c>
      <c r="D342" s="13" t="e">
        <f>IF(C_MEAS="Sessions",INDEX($G$26:G342,MATCH(C342,$F$26:$F342,0)),
IF(C_MEAS="Total_Item_Requests",INDEX($H$26:$H342,MATCH(C342,$F$26:$F342,0)),
IF(C_MEAS="Unique_Item_Requests",INDEX($I$26:$I342,MATCH(C342,$F$26:$F342,0)),
IF(C_MEAS="Total_Item_Investigations",INDEX($J$26:$J342,MATCH(C342,$F$26:$F342,0)),
IF(C_MEAS="Unique_Item_Investigations",INDEX($K$26:$K342,MATCH(C342,$F$26:$F342,0)),
IF(C_MEAS="User",INDEX($L$26:$L342,MATCH(C342,$F$26:$F342,0))
))))))</f>
        <v>#N/A</v>
      </c>
      <c r="F342"/>
      <c r="G342"/>
      <c r="H342"/>
      <c r="I342"/>
      <c r="J342"/>
      <c r="K342"/>
      <c r="L342"/>
    </row>
    <row r="343" spans="3:12" x14ac:dyDescent="0.35">
      <c r="C343" s="9">
        <f t="array" ref="C343">_xlfn.UNIQUE(F343:F343)</f>
        <v>0</v>
      </c>
      <c r="D343" s="13" t="e">
        <f>IF(C_MEAS="Sessions",INDEX($G$26:G343,MATCH(C343,$F$26:$F343,0)),
IF(C_MEAS="Total_Item_Requests",INDEX($H$26:$H343,MATCH(C343,$F$26:$F343,0)),
IF(C_MEAS="Unique_Item_Requests",INDEX($I$26:$I343,MATCH(C343,$F$26:$F343,0)),
IF(C_MEAS="Total_Item_Investigations",INDEX($J$26:$J343,MATCH(C343,$F$26:$F343,0)),
IF(C_MEAS="Unique_Item_Investigations",INDEX($K$26:$K343,MATCH(C343,$F$26:$F343,0)),
IF(C_MEAS="User",INDEX($L$26:$L343,MATCH(C343,$F$26:$F343,0))
))))))</f>
        <v>#N/A</v>
      </c>
      <c r="F343"/>
      <c r="G343"/>
      <c r="H343"/>
      <c r="I343"/>
      <c r="J343"/>
      <c r="K343"/>
      <c r="L343"/>
    </row>
    <row r="344" spans="3:12" x14ac:dyDescent="0.35">
      <c r="C344" s="9">
        <f t="array" ref="C344">_xlfn.UNIQUE(F344:F344)</f>
        <v>0</v>
      </c>
      <c r="D344" s="13" t="e">
        <f>IF(C_MEAS="Sessions",INDEX($G$26:G344,MATCH(C344,$F$26:$F344,0)),
IF(C_MEAS="Total_Item_Requests",INDEX($H$26:$H344,MATCH(C344,$F$26:$F344,0)),
IF(C_MEAS="Unique_Item_Requests",INDEX($I$26:$I344,MATCH(C344,$F$26:$F344,0)),
IF(C_MEAS="Total_Item_Investigations",INDEX($J$26:$J344,MATCH(C344,$F$26:$F344,0)),
IF(C_MEAS="Unique_Item_Investigations",INDEX($K$26:$K344,MATCH(C344,$F$26:$F344,0)),
IF(C_MEAS="User",INDEX($L$26:$L344,MATCH(C344,$F$26:$F344,0))
))))))</f>
        <v>#N/A</v>
      </c>
      <c r="F344"/>
      <c r="G344"/>
      <c r="H344"/>
      <c r="I344"/>
      <c r="J344"/>
      <c r="K344"/>
      <c r="L344"/>
    </row>
    <row r="345" spans="3:12" x14ac:dyDescent="0.35">
      <c r="C345" s="9">
        <f t="array" ref="C345">_xlfn.UNIQUE(F345:F345)</f>
        <v>0</v>
      </c>
      <c r="D345" s="13" t="e">
        <f>IF(C_MEAS="Sessions",INDEX($G$26:G345,MATCH(C345,$F$26:$F345,0)),
IF(C_MEAS="Total_Item_Requests",INDEX($H$26:$H345,MATCH(C345,$F$26:$F345,0)),
IF(C_MEAS="Unique_Item_Requests",INDEX($I$26:$I345,MATCH(C345,$F$26:$F345,0)),
IF(C_MEAS="Total_Item_Investigations",INDEX($J$26:$J345,MATCH(C345,$F$26:$F345,0)),
IF(C_MEAS="Unique_Item_Investigations",INDEX($K$26:$K345,MATCH(C345,$F$26:$F345,0)),
IF(C_MEAS="User",INDEX($L$26:$L345,MATCH(C345,$F$26:$F345,0))
))))))</f>
        <v>#N/A</v>
      </c>
      <c r="F345"/>
      <c r="G345"/>
      <c r="H345"/>
      <c r="I345"/>
      <c r="J345"/>
      <c r="K345"/>
      <c r="L345"/>
    </row>
    <row r="346" spans="3:12" x14ac:dyDescent="0.35">
      <c r="C346" s="9">
        <f t="array" ref="C346">_xlfn.UNIQUE(F346:F346)</f>
        <v>0</v>
      </c>
      <c r="D346" s="13" t="e">
        <f>IF(C_MEAS="Sessions",INDEX($G$26:G346,MATCH(C346,$F$26:$F346,0)),
IF(C_MEAS="Total_Item_Requests",INDEX($H$26:$H346,MATCH(C346,$F$26:$F346,0)),
IF(C_MEAS="Unique_Item_Requests",INDEX($I$26:$I346,MATCH(C346,$F$26:$F346,0)),
IF(C_MEAS="Total_Item_Investigations",INDEX($J$26:$J346,MATCH(C346,$F$26:$F346,0)),
IF(C_MEAS="Unique_Item_Investigations",INDEX($K$26:$K346,MATCH(C346,$F$26:$F346,0)),
IF(C_MEAS="User",INDEX($L$26:$L346,MATCH(C346,$F$26:$F346,0))
))))))</f>
        <v>#N/A</v>
      </c>
      <c r="F346"/>
      <c r="G346"/>
      <c r="H346"/>
      <c r="I346"/>
      <c r="J346"/>
      <c r="K346"/>
      <c r="L346"/>
    </row>
    <row r="347" spans="3:12" x14ac:dyDescent="0.35">
      <c r="C347" s="9">
        <f t="array" ref="C347">_xlfn.UNIQUE(F347:F347)</f>
        <v>0</v>
      </c>
      <c r="D347" s="13" t="e">
        <f>IF(C_MEAS="Sessions",INDEX($G$26:G347,MATCH(C347,$F$26:$F347,0)),
IF(C_MEAS="Total_Item_Requests",INDEX($H$26:$H347,MATCH(C347,$F$26:$F347,0)),
IF(C_MEAS="Unique_Item_Requests",INDEX($I$26:$I347,MATCH(C347,$F$26:$F347,0)),
IF(C_MEAS="Total_Item_Investigations",INDEX($J$26:$J347,MATCH(C347,$F$26:$F347,0)),
IF(C_MEAS="Unique_Item_Investigations",INDEX($K$26:$K347,MATCH(C347,$F$26:$F347,0)),
IF(C_MEAS="User",INDEX($L$26:$L347,MATCH(C347,$F$26:$F347,0))
))))))</f>
        <v>#N/A</v>
      </c>
      <c r="F347"/>
      <c r="G347"/>
      <c r="H347"/>
      <c r="I347"/>
      <c r="J347"/>
      <c r="K347"/>
      <c r="L347"/>
    </row>
    <row r="348" spans="3:12" x14ac:dyDescent="0.35">
      <c r="C348" s="9">
        <f t="array" ref="C348">_xlfn.UNIQUE(F348:F348)</f>
        <v>0</v>
      </c>
      <c r="D348" s="13" t="e">
        <f>IF(C_MEAS="Sessions",INDEX($G$26:G348,MATCH(C348,$F$26:$F348,0)),
IF(C_MEAS="Total_Item_Requests",INDEX($H$26:$H348,MATCH(C348,$F$26:$F348,0)),
IF(C_MEAS="Unique_Item_Requests",INDEX($I$26:$I348,MATCH(C348,$F$26:$F348,0)),
IF(C_MEAS="Total_Item_Investigations",INDEX($J$26:$J348,MATCH(C348,$F$26:$F348,0)),
IF(C_MEAS="Unique_Item_Investigations",INDEX($K$26:$K348,MATCH(C348,$F$26:$F348,0)),
IF(C_MEAS="User",INDEX($L$26:$L348,MATCH(C348,$F$26:$F348,0))
))))))</f>
        <v>#N/A</v>
      </c>
      <c r="F348"/>
      <c r="G348"/>
      <c r="H348"/>
      <c r="I348"/>
      <c r="J348"/>
      <c r="K348"/>
      <c r="L348"/>
    </row>
    <row r="349" spans="3:12" x14ac:dyDescent="0.35">
      <c r="C349" s="9">
        <f t="array" ref="C349">_xlfn.UNIQUE(F349:F349)</f>
        <v>0</v>
      </c>
      <c r="D349" s="13" t="e">
        <f>IF(C_MEAS="Sessions",INDEX($G$26:G349,MATCH(C349,$F$26:$F349,0)),
IF(C_MEAS="Total_Item_Requests",INDEX($H$26:$H349,MATCH(C349,$F$26:$F349,0)),
IF(C_MEAS="Unique_Item_Requests",INDEX($I$26:$I349,MATCH(C349,$F$26:$F349,0)),
IF(C_MEAS="Total_Item_Investigations",INDEX($J$26:$J349,MATCH(C349,$F$26:$F349,0)),
IF(C_MEAS="Unique_Item_Investigations",INDEX($K$26:$K349,MATCH(C349,$F$26:$F349,0)),
IF(C_MEAS="User",INDEX($L$26:$L349,MATCH(C349,$F$26:$F349,0))
))))))</f>
        <v>#N/A</v>
      </c>
      <c r="F349"/>
      <c r="G349"/>
      <c r="H349"/>
      <c r="I349"/>
      <c r="J349"/>
      <c r="K349"/>
      <c r="L349"/>
    </row>
    <row r="350" spans="3:12" x14ac:dyDescent="0.35">
      <c r="C350" s="9">
        <f t="array" ref="C350">_xlfn.UNIQUE(F350:F350)</f>
        <v>0</v>
      </c>
      <c r="D350" s="13" t="e">
        <f>IF(C_MEAS="Sessions",INDEX($G$26:G350,MATCH(C350,$F$26:$F350,0)),
IF(C_MEAS="Total_Item_Requests",INDEX($H$26:$H350,MATCH(C350,$F$26:$F350,0)),
IF(C_MEAS="Unique_Item_Requests",INDEX($I$26:$I350,MATCH(C350,$F$26:$F350,0)),
IF(C_MEAS="Total_Item_Investigations",INDEX($J$26:$J350,MATCH(C350,$F$26:$F350,0)),
IF(C_MEAS="Unique_Item_Investigations",INDEX($K$26:$K350,MATCH(C350,$F$26:$F350,0)),
IF(C_MEAS="User",INDEX($L$26:$L350,MATCH(C350,$F$26:$F350,0))
))))))</f>
        <v>#N/A</v>
      </c>
      <c r="F350"/>
      <c r="G350"/>
      <c r="H350"/>
      <c r="I350"/>
      <c r="J350"/>
      <c r="K350"/>
      <c r="L350"/>
    </row>
    <row r="351" spans="3:12" x14ac:dyDescent="0.35">
      <c r="C351" s="9">
        <f t="array" ref="C351">_xlfn.UNIQUE(F351:F351)</f>
        <v>0</v>
      </c>
      <c r="D351" s="13" t="e">
        <f>IF(C_MEAS="Sessions",INDEX($G$26:G351,MATCH(C351,$F$26:$F351,0)),
IF(C_MEAS="Total_Item_Requests",INDEX($H$26:$H351,MATCH(C351,$F$26:$F351,0)),
IF(C_MEAS="Unique_Item_Requests",INDEX($I$26:$I351,MATCH(C351,$F$26:$F351,0)),
IF(C_MEAS="Total_Item_Investigations",INDEX($J$26:$J351,MATCH(C351,$F$26:$F351,0)),
IF(C_MEAS="Unique_Item_Investigations",INDEX($K$26:$K351,MATCH(C351,$F$26:$F351,0)),
IF(C_MEAS="User",INDEX($L$26:$L351,MATCH(C351,$F$26:$F351,0))
))))))</f>
        <v>#N/A</v>
      </c>
      <c r="F351"/>
      <c r="G351"/>
      <c r="H351"/>
      <c r="I351"/>
      <c r="J351"/>
      <c r="K351"/>
      <c r="L351"/>
    </row>
    <row r="352" spans="3:12" x14ac:dyDescent="0.35">
      <c r="C352" s="9">
        <f t="array" ref="C352">_xlfn.UNIQUE(F352:F352)</f>
        <v>0</v>
      </c>
      <c r="D352" s="13" t="e">
        <f>IF(C_MEAS="Sessions",INDEX($G$26:G352,MATCH(C352,$F$26:$F352,0)),
IF(C_MEAS="Total_Item_Requests",INDEX($H$26:$H352,MATCH(C352,$F$26:$F352,0)),
IF(C_MEAS="Unique_Item_Requests",INDEX($I$26:$I352,MATCH(C352,$F$26:$F352,0)),
IF(C_MEAS="Total_Item_Investigations",INDEX($J$26:$J352,MATCH(C352,$F$26:$F352,0)),
IF(C_MEAS="Unique_Item_Investigations",INDEX($K$26:$K352,MATCH(C352,$F$26:$F352,0)),
IF(C_MEAS="User",INDEX($L$26:$L352,MATCH(C352,$F$26:$F352,0))
))))))</f>
        <v>#N/A</v>
      </c>
      <c r="F352"/>
      <c r="G352"/>
      <c r="H352"/>
      <c r="I352"/>
      <c r="J352"/>
      <c r="K352"/>
      <c r="L352"/>
    </row>
    <row r="353" spans="3:12" x14ac:dyDescent="0.35">
      <c r="C353" s="9">
        <f t="array" ref="C353">_xlfn.UNIQUE(F353:F353)</f>
        <v>0</v>
      </c>
      <c r="D353" s="13" t="e">
        <f>IF(C_MEAS="Sessions",INDEX($G$26:G353,MATCH(C353,$F$26:$F353,0)),
IF(C_MEAS="Total_Item_Requests",INDEX($H$26:$H353,MATCH(C353,$F$26:$F353,0)),
IF(C_MEAS="Unique_Item_Requests",INDEX($I$26:$I353,MATCH(C353,$F$26:$F353,0)),
IF(C_MEAS="Total_Item_Investigations",INDEX($J$26:$J353,MATCH(C353,$F$26:$F353,0)),
IF(C_MEAS="Unique_Item_Investigations",INDEX($K$26:$K353,MATCH(C353,$F$26:$F353,0)),
IF(C_MEAS="User",INDEX($L$26:$L353,MATCH(C353,$F$26:$F353,0))
))))))</f>
        <v>#N/A</v>
      </c>
      <c r="F353"/>
      <c r="G353"/>
      <c r="H353"/>
      <c r="I353"/>
      <c r="J353"/>
      <c r="K353"/>
      <c r="L353"/>
    </row>
    <row r="354" spans="3:12" x14ac:dyDescent="0.35">
      <c r="C354" s="9">
        <f t="array" ref="C354">_xlfn.UNIQUE(F354:F354)</f>
        <v>0</v>
      </c>
      <c r="D354" s="13" t="e">
        <f>IF(C_MEAS="Sessions",INDEX($G$26:G354,MATCH(C354,$F$26:$F354,0)),
IF(C_MEAS="Total_Item_Requests",INDEX($H$26:$H354,MATCH(C354,$F$26:$F354,0)),
IF(C_MEAS="Unique_Item_Requests",INDEX($I$26:$I354,MATCH(C354,$F$26:$F354,0)),
IF(C_MEAS="Total_Item_Investigations",INDEX($J$26:$J354,MATCH(C354,$F$26:$F354,0)),
IF(C_MEAS="Unique_Item_Investigations",INDEX($K$26:$K354,MATCH(C354,$F$26:$F354,0)),
IF(C_MEAS="User",INDEX($L$26:$L354,MATCH(C354,$F$26:$F354,0))
))))))</f>
        <v>#N/A</v>
      </c>
      <c r="F354"/>
      <c r="G354"/>
      <c r="H354"/>
      <c r="I354"/>
      <c r="J354"/>
      <c r="K354"/>
      <c r="L354"/>
    </row>
    <row r="355" spans="3:12" x14ac:dyDescent="0.35">
      <c r="C355" s="9">
        <f t="array" ref="C355">_xlfn.UNIQUE(F355:F355)</f>
        <v>0</v>
      </c>
      <c r="D355" s="13" t="e">
        <f>IF(C_MEAS="Sessions",INDEX($G$26:G355,MATCH(C355,$F$26:$F355,0)),
IF(C_MEAS="Total_Item_Requests",INDEX($H$26:$H355,MATCH(C355,$F$26:$F355,0)),
IF(C_MEAS="Unique_Item_Requests",INDEX($I$26:$I355,MATCH(C355,$F$26:$F355,0)),
IF(C_MEAS="Total_Item_Investigations",INDEX($J$26:$J355,MATCH(C355,$F$26:$F355,0)),
IF(C_MEAS="Unique_Item_Investigations",INDEX($K$26:$K355,MATCH(C355,$F$26:$F355,0)),
IF(C_MEAS="User",INDEX($L$26:$L355,MATCH(C355,$F$26:$F355,0))
))))))</f>
        <v>#N/A</v>
      </c>
      <c r="F355"/>
      <c r="G355"/>
      <c r="H355"/>
      <c r="I355"/>
      <c r="J355"/>
      <c r="K355"/>
      <c r="L355"/>
    </row>
    <row r="356" spans="3:12" x14ac:dyDescent="0.35">
      <c r="C356" s="9">
        <f t="array" ref="C356">_xlfn.UNIQUE(F356:F356)</f>
        <v>0</v>
      </c>
      <c r="D356" s="13" t="e">
        <f>IF(C_MEAS="Sessions",INDEX($G$26:G356,MATCH(C356,$F$26:$F356,0)),
IF(C_MEAS="Total_Item_Requests",INDEX($H$26:$H356,MATCH(C356,$F$26:$F356,0)),
IF(C_MEAS="Unique_Item_Requests",INDEX($I$26:$I356,MATCH(C356,$F$26:$F356,0)),
IF(C_MEAS="Total_Item_Investigations",INDEX($J$26:$J356,MATCH(C356,$F$26:$F356,0)),
IF(C_MEAS="Unique_Item_Investigations",INDEX($K$26:$K356,MATCH(C356,$F$26:$F356,0)),
IF(C_MEAS="User",INDEX($L$26:$L356,MATCH(C356,$F$26:$F356,0))
))))))</f>
        <v>#N/A</v>
      </c>
      <c r="F356"/>
      <c r="G356"/>
      <c r="H356"/>
      <c r="I356"/>
      <c r="J356"/>
      <c r="K356"/>
      <c r="L356"/>
    </row>
    <row r="357" spans="3:12" x14ac:dyDescent="0.35">
      <c r="C357" s="9">
        <f t="array" ref="C357">_xlfn.UNIQUE(F357:F357)</f>
        <v>0</v>
      </c>
      <c r="D357" s="13" t="e">
        <f>IF(C_MEAS="Sessions",INDEX($G$26:G357,MATCH(C357,$F$26:$F357,0)),
IF(C_MEAS="Total_Item_Requests",INDEX($H$26:$H357,MATCH(C357,$F$26:$F357,0)),
IF(C_MEAS="Unique_Item_Requests",INDEX($I$26:$I357,MATCH(C357,$F$26:$F357,0)),
IF(C_MEAS="Total_Item_Investigations",INDEX($J$26:$J357,MATCH(C357,$F$26:$F357,0)),
IF(C_MEAS="Unique_Item_Investigations",INDEX($K$26:$K357,MATCH(C357,$F$26:$F357,0)),
IF(C_MEAS="User",INDEX($L$26:$L357,MATCH(C357,$F$26:$F357,0))
))))))</f>
        <v>#N/A</v>
      </c>
      <c r="F357"/>
      <c r="G357"/>
      <c r="H357"/>
      <c r="I357"/>
      <c r="J357"/>
      <c r="K357"/>
      <c r="L357"/>
    </row>
    <row r="358" spans="3:12" x14ac:dyDescent="0.35">
      <c r="C358" s="9">
        <f t="array" ref="C358">_xlfn.UNIQUE(F358:F358)</f>
        <v>0</v>
      </c>
      <c r="D358" s="13" t="e">
        <f>IF(C_MEAS="Sessions",INDEX($G$26:G358,MATCH(C358,$F$26:$F358,0)),
IF(C_MEAS="Total_Item_Requests",INDEX($H$26:$H358,MATCH(C358,$F$26:$F358,0)),
IF(C_MEAS="Unique_Item_Requests",INDEX($I$26:$I358,MATCH(C358,$F$26:$F358,0)),
IF(C_MEAS="Total_Item_Investigations",INDEX($J$26:$J358,MATCH(C358,$F$26:$F358,0)),
IF(C_MEAS="Unique_Item_Investigations",INDEX($K$26:$K358,MATCH(C358,$F$26:$F358,0)),
IF(C_MEAS="User",INDEX($L$26:$L358,MATCH(C358,$F$26:$F358,0))
))))))</f>
        <v>#N/A</v>
      </c>
      <c r="F358"/>
      <c r="G358"/>
      <c r="H358"/>
      <c r="I358"/>
      <c r="J358"/>
      <c r="K358"/>
      <c r="L358"/>
    </row>
    <row r="359" spans="3:12" x14ac:dyDescent="0.35">
      <c r="C359" s="9">
        <f t="array" ref="C359">_xlfn.UNIQUE(F359:F359)</f>
        <v>0</v>
      </c>
      <c r="D359" s="13" t="e">
        <f>IF(C_MEAS="Sessions",INDEX($G$26:G359,MATCH(C359,$F$26:$F359,0)),
IF(C_MEAS="Total_Item_Requests",INDEX($H$26:$H359,MATCH(C359,$F$26:$F359,0)),
IF(C_MEAS="Unique_Item_Requests",INDEX($I$26:$I359,MATCH(C359,$F$26:$F359,0)),
IF(C_MEAS="Total_Item_Investigations",INDEX($J$26:$J359,MATCH(C359,$F$26:$F359,0)),
IF(C_MEAS="Unique_Item_Investigations",INDEX($K$26:$K359,MATCH(C359,$F$26:$F359,0)),
IF(C_MEAS="User",INDEX($L$26:$L359,MATCH(C359,$F$26:$F359,0))
))))))</f>
        <v>#N/A</v>
      </c>
      <c r="F359"/>
      <c r="G359"/>
      <c r="H359"/>
      <c r="I359"/>
      <c r="J359"/>
      <c r="K359"/>
      <c r="L359"/>
    </row>
    <row r="360" spans="3:12" x14ac:dyDescent="0.35">
      <c r="C360" s="9">
        <f t="array" ref="C360">_xlfn.UNIQUE(F360:F360)</f>
        <v>0</v>
      </c>
      <c r="D360" s="13" t="e">
        <f>IF(C_MEAS="Sessions",INDEX($G$26:G360,MATCH(C360,$F$26:$F360,0)),
IF(C_MEAS="Total_Item_Requests",INDEX($H$26:$H360,MATCH(C360,$F$26:$F360,0)),
IF(C_MEAS="Unique_Item_Requests",INDEX($I$26:$I360,MATCH(C360,$F$26:$F360,0)),
IF(C_MEAS="Total_Item_Investigations",INDEX($J$26:$J360,MATCH(C360,$F$26:$F360,0)),
IF(C_MEAS="Unique_Item_Investigations",INDEX($K$26:$K360,MATCH(C360,$F$26:$F360,0)),
IF(C_MEAS="User",INDEX($L$26:$L360,MATCH(C360,$F$26:$F360,0))
))))))</f>
        <v>#N/A</v>
      </c>
      <c r="F360"/>
      <c r="G360"/>
      <c r="H360"/>
      <c r="I360"/>
      <c r="J360"/>
      <c r="K360"/>
      <c r="L360"/>
    </row>
    <row r="361" spans="3:12" x14ac:dyDescent="0.35">
      <c r="C361" s="9">
        <f t="array" ref="C361">_xlfn.UNIQUE(F361:F361)</f>
        <v>0</v>
      </c>
      <c r="D361" s="13" t="e">
        <f>IF(C_MEAS="Sessions",INDEX($G$26:G361,MATCH(C361,$F$26:$F361,0)),
IF(C_MEAS="Total_Item_Requests",INDEX($H$26:$H361,MATCH(C361,$F$26:$F361,0)),
IF(C_MEAS="Unique_Item_Requests",INDEX($I$26:$I361,MATCH(C361,$F$26:$F361,0)),
IF(C_MEAS="Total_Item_Investigations",INDEX($J$26:$J361,MATCH(C361,$F$26:$F361,0)),
IF(C_MEAS="Unique_Item_Investigations",INDEX($K$26:$K361,MATCH(C361,$F$26:$F361,0)),
IF(C_MEAS="User",INDEX($L$26:$L361,MATCH(C361,$F$26:$F361,0))
))))))</f>
        <v>#N/A</v>
      </c>
      <c r="F361"/>
      <c r="G361"/>
      <c r="H361"/>
      <c r="I361"/>
      <c r="J361"/>
      <c r="K361"/>
      <c r="L361"/>
    </row>
    <row r="362" spans="3:12" x14ac:dyDescent="0.35">
      <c r="C362" s="9">
        <f t="array" ref="C362">_xlfn.UNIQUE(F362:F362)</f>
        <v>0</v>
      </c>
      <c r="D362" s="13" t="e">
        <f>IF(C_MEAS="Sessions",INDEX($G$26:G362,MATCH(C362,$F$26:$F362,0)),
IF(C_MEAS="Total_Item_Requests",INDEX($H$26:$H362,MATCH(C362,$F$26:$F362,0)),
IF(C_MEAS="Unique_Item_Requests",INDEX($I$26:$I362,MATCH(C362,$F$26:$F362,0)),
IF(C_MEAS="Total_Item_Investigations",INDEX($J$26:$J362,MATCH(C362,$F$26:$F362,0)),
IF(C_MEAS="Unique_Item_Investigations",INDEX($K$26:$K362,MATCH(C362,$F$26:$F362,0)),
IF(C_MEAS="User",INDEX($L$26:$L362,MATCH(C362,$F$26:$F362,0))
))))))</f>
        <v>#N/A</v>
      </c>
      <c r="F362"/>
      <c r="G362"/>
      <c r="H362"/>
      <c r="I362"/>
      <c r="J362"/>
      <c r="K362"/>
      <c r="L362"/>
    </row>
    <row r="363" spans="3:12" x14ac:dyDescent="0.35">
      <c r="C363" s="9">
        <f t="array" ref="C363">_xlfn.UNIQUE(F363:F363)</f>
        <v>0</v>
      </c>
      <c r="D363" s="13" t="e">
        <f>IF(C_MEAS="Sessions",INDEX($G$26:G363,MATCH(C363,$F$26:$F363,0)),
IF(C_MEAS="Total_Item_Requests",INDEX($H$26:$H363,MATCH(C363,$F$26:$F363,0)),
IF(C_MEAS="Unique_Item_Requests",INDEX($I$26:$I363,MATCH(C363,$F$26:$F363,0)),
IF(C_MEAS="Total_Item_Investigations",INDEX($J$26:$J363,MATCH(C363,$F$26:$F363,0)),
IF(C_MEAS="Unique_Item_Investigations",INDEX($K$26:$K363,MATCH(C363,$F$26:$F363,0)),
IF(C_MEAS="User",INDEX($L$26:$L363,MATCH(C363,$F$26:$F363,0))
))))))</f>
        <v>#N/A</v>
      </c>
      <c r="F363"/>
      <c r="G363"/>
      <c r="H363"/>
      <c r="I363"/>
      <c r="J363"/>
      <c r="K363"/>
      <c r="L363"/>
    </row>
    <row r="364" spans="3:12" x14ac:dyDescent="0.35">
      <c r="C364" s="9">
        <f t="array" ref="C364">_xlfn.UNIQUE(F364:F364)</f>
        <v>0</v>
      </c>
      <c r="D364" s="13" t="e">
        <f>IF(C_MEAS="Sessions",INDEX($G$26:G364,MATCH(C364,$F$26:$F364,0)),
IF(C_MEAS="Total_Item_Requests",INDEX($H$26:$H364,MATCH(C364,$F$26:$F364,0)),
IF(C_MEAS="Unique_Item_Requests",INDEX($I$26:$I364,MATCH(C364,$F$26:$F364,0)),
IF(C_MEAS="Total_Item_Investigations",INDEX($J$26:$J364,MATCH(C364,$F$26:$F364,0)),
IF(C_MEAS="Unique_Item_Investigations",INDEX($K$26:$K364,MATCH(C364,$F$26:$F364,0)),
IF(C_MEAS="User",INDEX($L$26:$L364,MATCH(C364,$F$26:$F364,0))
))))))</f>
        <v>#N/A</v>
      </c>
      <c r="F364"/>
      <c r="G364"/>
      <c r="H364"/>
      <c r="I364"/>
      <c r="J364"/>
      <c r="K364"/>
      <c r="L364"/>
    </row>
    <row r="365" spans="3:12" x14ac:dyDescent="0.35">
      <c r="C365" s="9">
        <f t="array" ref="C365">_xlfn.UNIQUE(F365:F365)</f>
        <v>0</v>
      </c>
      <c r="D365" s="13" t="e">
        <f>IF(C_MEAS="Sessions",INDEX($G$26:G365,MATCH(C365,$F$26:$F365,0)),
IF(C_MEAS="Total_Item_Requests",INDEX($H$26:$H365,MATCH(C365,$F$26:$F365,0)),
IF(C_MEAS="Unique_Item_Requests",INDEX($I$26:$I365,MATCH(C365,$F$26:$F365,0)),
IF(C_MEAS="Total_Item_Investigations",INDEX($J$26:$J365,MATCH(C365,$F$26:$F365,0)),
IF(C_MEAS="Unique_Item_Investigations",INDEX($K$26:$K365,MATCH(C365,$F$26:$F365,0)),
IF(C_MEAS="User",INDEX($L$26:$L365,MATCH(C365,$F$26:$F365,0))
))))))</f>
        <v>#N/A</v>
      </c>
      <c r="F365"/>
      <c r="G365"/>
      <c r="H365"/>
      <c r="I365"/>
      <c r="J365"/>
      <c r="K365"/>
      <c r="L365"/>
    </row>
    <row r="366" spans="3:12" x14ac:dyDescent="0.35">
      <c r="C366" s="9">
        <f t="array" ref="C366">_xlfn.UNIQUE(F366:F366)</f>
        <v>0</v>
      </c>
      <c r="D366" s="13" t="e">
        <f>IF(C_MEAS="Sessions",INDEX($G$26:G366,MATCH(C366,$F$26:$F366,0)),
IF(C_MEAS="Total_Item_Requests",INDEX($H$26:$H366,MATCH(C366,$F$26:$F366,0)),
IF(C_MEAS="Unique_Item_Requests",INDEX($I$26:$I366,MATCH(C366,$F$26:$F366,0)),
IF(C_MEAS="Total_Item_Investigations",INDEX($J$26:$J366,MATCH(C366,$F$26:$F366,0)),
IF(C_MEAS="Unique_Item_Investigations",INDEX($K$26:$K366,MATCH(C366,$F$26:$F366,0)),
IF(C_MEAS="User",INDEX($L$26:$L366,MATCH(C366,$F$26:$F366,0))
))))))</f>
        <v>#N/A</v>
      </c>
      <c r="F366"/>
      <c r="G366"/>
      <c r="H366"/>
      <c r="I366"/>
      <c r="J366"/>
      <c r="K366"/>
      <c r="L366"/>
    </row>
    <row r="367" spans="3:12" x14ac:dyDescent="0.35">
      <c r="C367" s="9">
        <f t="array" ref="C367">_xlfn.UNIQUE(F367:F367)</f>
        <v>0</v>
      </c>
      <c r="D367" s="13" t="e">
        <f>IF(C_MEAS="Sessions",INDEX($G$26:G367,MATCH(C367,$F$26:$F367,0)),
IF(C_MEAS="Total_Item_Requests",INDEX($H$26:$H367,MATCH(C367,$F$26:$F367,0)),
IF(C_MEAS="Unique_Item_Requests",INDEX($I$26:$I367,MATCH(C367,$F$26:$F367,0)),
IF(C_MEAS="Total_Item_Investigations",INDEX($J$26:$J367,MATCH(C367,$F$26:$F367,0)),
IF(C_MEAS="Unique_Item_Investigations",INDEX($K$26:$K367,MATCH(C367,$F$26:$F367,0)),
IF(C_MEAS="User",INDEX($L$26:$L367,MATCH(C367,$F$26:$F367,0))
))))))</f>
        <v>#N/A</v>
      </c>
      <c r="F367"/>
      <c r="G367"/>
      <c r="H367"/>
      <c r="I367"/>
      <c r="J367"/>
      <c r="K367"/>
      <c r="L367"/>
    </row>
    <row r="368" spans="3:12" x14ac:dyDescent="0.35">
      <c r="C368" s="9">
        <f t="array" ref="C368">_xlfn.UNIQUE(F368:F368)</f>
        <v>0</v>
      </c>
      <c r="D368" s="13" t="e">
        <f>IF(C_MEAS="Sessions",INDEX($G$26:G368,MATCH(C368,$F$26:$F368,0)),
IF(C_MEAS="Total_Item_Requests",INDEX($H$26:$H368,MATCH(C368,$F$26:$F368,0)),
IF(C_MEAS="Unique_Item_Requests",INDEX($I$26:$I368,MATCH(C368,$F$26:$F368,0)),
IF(C_MEAS="Total_Item_Investigations",INDEX($J$26:$J368,MATCH(C368,$F$26:$F368,0)),
IF(C_MEAS="Unique_Item_Investigations",INDEX($K$26:$K368,MATCH(C368,$F$26:$F368,0)),
IF(C_MEAS="User",INDEX($L$26:$L368,MATCH(C368,$F$26:$F368,0))
))))))</f>
        <v>#N/A</v>
      </c>
      <c r="F368"/>
      <c r="G368"/>
      <c r="H368"/>
      <c r="I368"/>
      <c r="J368"/>
      <c r="K368"/>
      <c r="L368"/>
    </row>
    <row r="369" spans="3:12" x14ac:dyDescent="0.35">
      <c r="C369" s="9">
        <f t="array" ref="C369">_xlfn.UNIQUE(F369:F369)</f>
        <v>0</v>
      </c>
      <c r="D369" s="13" t="e">
        <f>IF(C_MEAS="Sessions",INDEX($G$26:G369,MATCH(C369,$F$26:$F369,0)),
IF(C_MEAS="Total_Item_Requests",INDEX($H$26:$H369,MATCH(C369,$F$26:$F369,0)),
IF(C_MEAS="Unique_Item_Requests",INDEX($I$26:$I369,MATCH(C369,$F$26:$F369,0)),
IF(C_MEAS="Total_Item_Investigations",INDEX($J$26:$J369,MATCH(C369,$F$26:$F369,0)),
IF(C_MEAS="Unique_Item_Investigations",INDEX($K$26:$K369,MATCH(C369,$F$26:$F369,0)),
IF(C_MEAS="User",INDEX($L$26:$L369,MATCH(C369,$F$26:$F369,0))
))))))</f>
        <v>#N/A</v>
      </c>
      <c r="F369"/>
      <c r="G369"/>
      <c r="H369"/>
      <c r="I369"/>
      <c r="J369"/>
      <c r="K369"/>
      <c r="L369"/>
    </row>
    <row r="370" spans="3:12" x14ac:dyDescent="0.35">
      <c r="C370" s="9">
        <f t="array" ref="C370">_xlfn.UNIQUE(F370:F370)</f>
        <v>0</v>
      </c>
      <c r="D370" s="13" t="e">
        <f>IF(C_MEAS="Sessions",INDEX($G$26:G370,MATCH(C370,$F$26:$F370,0)),
IF(C_MEAS="Total_Item_Requests",INDEX($H$26:$H370,MATCH(C370,$F$26:$F370,0)),
IF(C_MEAS="Unique_Item_Requests",INDEX($I$26:$I370,MATCH(C370,$F$26:$F370,0)),
IF(C_MEAS="Total_Item_Investigations",INDEX($J$26:$J370,MATCH(C370,$F$26:$F370,0)),
IF(C_MEAS="Unique_Item_Investigations",INDEX($K$26:$K370,MATCH(C370,$F$26:$F370,0)),
IF(C_MEAS="User",INDEX($L$26:$L370,MATCH(C370,$F$26:$F370,0))
))))))</f>
        <v>#N/A</v>
      </c>
      <c r="F370"/>
      <c r="G370"/>
      <c r="H370"/>
      <c r="I370"/>
      <c r="J370"/>
      <c r="K370"/>
      <c r="L370"/>
    </row>
    <row r="371" spans="3:12" x14ac:dyDescent="0.35">
      <c r="C371" s="9">
        <f t="array" ref="C371">_xlfn.UNIQUE(F371:F371)</f>
        <v>0</v>
      </c>
      <c r="D371" s="13" t="e">
        <f>IF(C_MEAS="Sessions",INDEX($G$26:G371,MATCH(C371,$F$26:$F371,0)),
IF(C_MEAS="Total_Item_Requests",INDEX($H$26:$H371,MATCH(C371,$F$26:$F371,0)),
IF(C_MEAS="Unique_Item_Requests",INDEX($I$26:$I371,MATCH(C371,$F$26:$F371,0)),
IF(C_MEAS="Total_Item_Investigations",INDEX($J$26:$J371,MATCH(C371,$F$26:$F371,0)),
IF(C_MEAS="Unique_Item_Investigations",INDEX($K$26:$K371,MATCH(C371,$F$26:$F371,0)),
IF(C_MEAS="User",INDEX($L$26:$L371,MATCH(C371,$F$26:$F371,0))
))))))</f>
        <v>#N/A</v>
      </c>
      <c r="F371"/>
      <c r="G371"/>
      <c r="H371"/>
      <c r="I371"/>
      <c r="J371"/>
      <c r="K371"/>
      <c r="L371"/>
    </row>
    <row r="372" spans="3:12" x14ac:dyDescent="0.35">
      <c r="C372" s="9">
        <f t="array" ref="C372">_xlfn.UNIQUE(F372:F372)</f>
        <v>0</v>
      </c>
      <c r="D372" s="13" t="e">
        <f>IF(C_MEAS="Sessions",INDEX($G$26:G372,MATCH(C372,$F$26:$F372,0)),
IF(C_MEAS="Total_Item_Requests",INDEX($H$26:$H372,MATCH(C372,$F$26:$F372,0)),
IF(C_MEAS="Unique_Item_Requests",INDEX($I$26:$I372,MATCH(C372,$F$26:$F372,0)),
IF(C_MEAS="Total_Item_Investigations",INDEX($J$26:$J372,MATCH(C372,$F$26:$F372,0)),
IF(C_MEAS="Unique_Item_Investigations",INDEX($K$26:$K372,MATCH(C372,$F$26:$F372,0)),
IF(C_MEAS="User",INDEX($L$26:$L372,MATCH(C372,$F$26:$F372,0))
))))))</f>
        <v>#N/A</v>
      </c>
      <c r="F372"/>
      <c r="G372"/>
      <c r="H372"/>
      <c r="I372"/>
      <c r="J372"/>
      <c r="K372"/>
      <c r="L372"/>
    </row>
    <row r="373" spans="3:12" x14ac:dyDescent="0.35">
      <c r="C373" s="9">
        <f t="array" ref="C373">_xlfn.UNIQUE(F373:F373)</f>
        <v>0</v>
      </c>
      <c r="D373" s="13" t="e">
        <f>IF(C_MEAS="Sessions",INDEX($G$26:G373,MATCH(C373,$F$26:$F373,0)),
IF(C_MEAS="Total_Item_Requests",INDEX($H$26:$H373,MATCH(C373,$F$26:$F373,0)),
IF(C_MEAS="Unique_Item_Requests",INDEX($I$26:$I373,MATCH(C373,$F$26:$F373,0)),
IF(C_MEAS="Total_Item_Investigations",INDEX($J$26:$J373,MATCH(C373,$F$26:$F373,0)),
IF(C_MEAS="Unique_Item_Investigations",INDEX($K$26:$K373,MATCH(C373,$F$26:$F373,0)),
IF(C_MEAS="User",INDEX($L$26:$L373,MATCH(C373,$F$26:$F373,0))
))))))</f>
        <v>#N/A</v>
      </c>
      <c r="F373"/>
      <c r="G373"/>
      <c r="H373"/>
      <c r="I373"/>
      <c r="J373"/>
      <c r="K373"/>
      <c r="L373"/>
    </row>
    <row r="374" spans="3:12" x14ac:dyDescent="0.35">
      <c r="C374" s="9">
        <f t="array" ref="C374">_xlfn.UNIQUE(F374:F374)</f>
        <v>0</v>
      </c>
      <c r="D374" s="13" t="e">
        <f>IF(C_MEAS="Sessions",INDEX($G$26:G374,MATCH(C374,$F$26:$F374,0)),
IF(C_MEAS="Total_Item_Requests",INDEX($H$26:$H374,MATCH(C374,$F$26:$F374,0)),
IF(C_MEAS="Unique_Item_Requests",INDEX($I$26:$I374,MATCH(C374,$F$26:$F374,0)),
IF(C_MEAS="Total_Item_Investigations",INDEX($J$26:$J374,MATCH(C374,$F$26:$F374,0)),
IF(C_MEAS="Unique_Item_Investigations",INDEX($K$26:$K374,MATCH(C374,$F$26:$F374,0)),
IF(C_MEAS="User",INDEX($L$26:$L374,MATCH(C374,$F$26:$F374,0))
))))))</f>
        <v>#N/A</v>
      </c>
      <c r="F374"/>
      <c r="G374"/>
      <c r="H374"/>
      <c r="I374"/>
      <c r="J374"/>
      <c r="K374"/>
      <c r="L374"/>
    </row>
    <row r="375" spans="3:12" x14ac:dyDescent="0.35">
      <c r="C375" s="9">
        <f t="array" ref="C375">_xlfn.UNIQUE(F375:F375)</f>
        <v>0</v>
      </c>
      <c r="D375" s="13" t="e">
        <f>IF(C_MEAS="Sessions",INDEX($G$26:G375,MATCH(C375,$F$26:$F375,0)),
IF(C_MEAS="Total_Item_Requests",INDEX($H$26:$H375,MATCH(C375,$F$26:$F375,0)),
IF(C_MEAS="Unique_Item_Requests",INDEX($I$26:$I375,MATCH(C375,$F$26:$F375,0)),
IF(C_MEAS="Total_Item_Investigations",INDEX($J$26:$J375,MATCH(C375,$F$26:$F375,0)),
IF(C_MEAS="Unique_Item_Investigations",INDEX($K$26:$K375,MATCH(C375,$F$26:$F375,0)),
IF(C_MEAS="User",INDEX($L$26:$L375,MATCH(C375,$F$26:$F375,0))
))))))</f>
        <v>#N/A</v>
      </c>
      <c r="F375"/>
      <c r="G375"/>
      <c r="H375"/>
      <c r="I375"/>
      <c r="J375"/>
      <c r="K375"/>
      <c r="L375"/>
    </row>
    <row r="376" spans="3:12" x14ac:dyDescent="0.35">
      <c r="C376" s="9">
        <f t="array" ref="C376">_xlfn.UNIQUE(F376:F376)</f>
        <v>0</v>
      </c>
      <c r="D376" s="13" t="e">
        <f>IF(C_MEAS="Sessions",INDEX($G$26:G376,MATCH(C376,$F$26:$F376,0)),
IF(C_MEAS="Total_Item_Requests",INDEX($H$26:$H376,MATCH(C376,$F$26:$F376,0)),
IF(C_MEAS="Unique_Item_Requests",INDEX($I$26:$I376,MATCH(C376,$F$26:$F376,0)),
IF(C_MEAS="Total_Item_Investigations",INDEX($J$26:$J376,MATCH(C376,$F$26:$F376,0)),
IF(C_MEAS="Unique_Item_Investigations",INDEX($K$26:$K376,MATCH(C376,$F$26:$F376,0)),
IF(C_MEAS="User",INDEX($L$26:$L376,MATCH(C376,$F$26:$F376,0))
))))))</f>
        <v>#N/A</v>
      </c>
      <c r="F376"/>
      <c r="G376"/>
      <c r="H376"/>
      <c r="I376"/>
      <c r="J376"/>
      <c r="K376"/>
      <c r="L376"/>
    </row>
    <row r="377" spans="3:12" x14ac:dyDescent="0.35">
      <c r="C377" s="9">
        <f t="array" ref="C377">_xlfn.UNIQUE(F377:F377)</f>
        <v>0</v>
      </c>
      <c r="D377" s="13" t="e">
        <f>IF(C_MEAS="Sessions",INDEX($G$26:G377,MATCH(C377,$F$26:$F377,0)),
IF(C_MEAS="Total_Item_Requests",INDEX($H$26:$H377,MATCH(C377,$F$26:$F377,0)),
IF(C_MEAS="Unique_Item_Requests",INDEX($I$26:$I377,MATCH(C377,$F$26:$F377,0)),
IF(C_MEAS="Total_Item_Investigations",INDEX($J$26:$J377,MATCH(C377,$F$26:$F377,0)),
IF(C_MEAS="Unique_Item_Investigations",INDEX($K$26:$K377,MATCH(C377,$F$26:$F377,0)),
IF(C_MEAS="User",INDEX($L$26:$L377,MATCH(C377,$F$26:$F377,0))
))))))</f>
        <v>#N/A</v>
      </c>
      <c r="F377"/>
      <c r="G377"/>
      <c r="H377"/>
      <c r="I377"/>
      <c r="J377"/>
      <c r="K377"/>
      <c r="L377"/>
    </row>
    <row r="378" spans="3:12" x14ac:dyDescent="0.35">
      <c r="C378" s="9">
        <f t="array" ref="C378">_xlfn.UNIQUE(F378:F378)</f>
        <v>0</v>
      </c>
      <c r="D378" s="13" t="e">
        <f>IF(C_MEAS="Sessions",INDEX($G$26:G378,MATCH(C378,$F$26:$F378,0)),
IF(C_MEAS="Total_Item_Requests",INDEX($H$26:$H378,MATCH(C378,$F$26:$F378,0)),
IF(C_MEAS="Unique_Item_Requests",INDEX($I$26:$I378,MATCH(C378,$F$26:$F378,0)),
IF(C_MEAS="Total_Item_Investigations",INDEX($J$26:$J378,MATCH(C378,$F$26:$F378,0)),
IF(C_MEAS="Unique_Item_Investigations",INDEX($K$26:$K378,MATCH(C378,$F$26:$F378,0)),
IF(C_MEAS="User",INDEX($L$26:$L378,MATCH(C378,$F$26:$F378,0))
))))))</f>
        <v>#N/A</v>
      </c>
      <c r="F378"/>
      <c r="G378"/>
      <c r="H378"/>
      <c r="I378"/>
      <c r="J378"/>
      <c r="K378"/>
      <c r="L378"/>
    </row>
    <row r="379" spans="3:12" x14ac:dyDescent="0.35">
      <c r="C379" s="9">
        <f t="array" ref="C379">_xlfn.UNIQUE(F379:F379)</f>
        <v>0</v>
      </c>
      <c r="D379" s="13" t="e">
        <f>IF(C_MEAS="Sessions",INDEX($G$26:G379,MATCH(C379,$F$26:$F379,0)),
IF(C_MEAS="Total_Item_Requests",INDEX($H$26:$H379,MATCH(C379,$F$26:$F379,0)),
IF(C_MEAS="Unique_Item_Requests",INDEX($I$26:$I379,MATCH(C379,$F$26:$F379,0)),
IF(C_MEAS="Total_Item_Investigations",INDEX($J$26:$J379,MATCH(C379,$F$26:$F379,0)),
IF(C_MEAS="Unique_Item_Investigations",INDEX($K$26:$K379,MATCH(C379,$F$26:$F379,0)),
IF(C_MEAS="User",INDEX($L$26:$L379,MATCH(C379,$F$26:$F379,0))
))))))</f>
        <v>#N/A</v>
      </c>
      <c r="F379"/>
      <c r="G379"/>
      <c r="H379"/>
      <c r="I379"/>
      <c r="J379"/>
      <c r="K379"/>
      <c r="L379"/>
    </row>
    <row r="380" spans="3:12" x14ac:dyDescent="0.35">
      <c r="C380" s="9">
        <f t="array" ref="C380">_xlfn.UNIQUE(F380:F380)</f>
        <v>0</v>
      </c>
      <c r="D380" s="13" t="e">
        <f>IF(C_MEAS="Sessions",INDEX($G$26:G380,MATCH(C380,$F$26:$F380,0)),
IF(C_MEAS="Total_Item_Requests",INDEX($H$26:$H380,MATCH(C380,$F$26:$F380,0)),
IF(C_MEAS="Unique_Item_Requests",INDEX($I$26:$I380,MATCH(C380,$F$26:$F380,0)),
IF(C_MEAS="Total_Item_Investigations",INDEX($J$26:$J380,MATCH(C380,$F$26:$F380,0)),
IF(C_MEAS="Unique_Item_Investigations",INDEX($K$26:$K380,MATCH(C380,$F$26:$F380,0)),
IF(C_MEAS="User",INDEX($L$26:$L380,MATCH(C380,$F$26:$F380,0))
))))))</f>
        <v>#N/A</v>
      </c>
      <c r="F380"/>
      <c r="G380"/>
      <c r="H380"/>
      <c r="I380"/>
      <c r="J380"/>
      <c r="K380"/>
      <c r="L380"/>
    </row>
    <row r="381" spans="3:12" x14ac:dyDescent="0.35">
      <c r="C381" s="9">
        <f t="array" ref="C381">_xlfn.UNIQUE(F381:F381)</f>
        <v>0</v>
      </c>
      <c r="D381" s="13" t="e">
        <f>IF(C_MEAS="Sessions",INDEX($G$26:G381,MATCH(C381,$F$26:$F381,0)),
IF(C_MEAS="Total_Item_Requests",INDEX($H$26:$H381,MATCH(C381,$F$26:$F381,0)),
IF(C_MEAS="Unique_Item_Requests",INDEX($I$26:$I381,MATCH(C381,$F$26:$F381,0)),
IF(C_MEAS="Total_Item_Investigations",INDEX($J$26:$J381,MATCH(C381,$F$26:$F381,0)),
IF(C_MEAS="Unique_Item_Investigations",INDEX($K$26:$K381,MATCH(C381,$F$26:$F381,0)),
IF(C_MEAS="User",INDEX($L$26:$L381,MATCH(C381,$F$26:$F381,0))
))))))</f>
        <v>#N/A</v>
      </c>
      <c r="F381"/>
      <c r="G381"/>
      <c r="H381"/>
      <c r="I381"/>
      <c r="J381"/>
      <c r="K381"/>
      <c r="L381"/>
    </row>
    <row r="382" spans="3:12" x14ac:dyDescent="0.35">
      <c r="C382" s="9">
        <f t="array" ref="C382">_xlfn.UNIQUE(F382:F382)</f>
        <v>0</v>
      </c>
      <c r="D382" s="13" t="e">
        <f>IF(C_MEAS="Sessions",INDEX($G$26:G382,MATCH(C382,$F$26:$F382,0)),
IF(C_MEAS="Total_Item_Requests",INDEX($H$26:$H382,MATCH(C382,$F$26:$F382,0)),
IF(C_MEAS="Unique_Item_Requests",INDEX($I$26:$I382,MATCH(C382,$F$26:$F382,0)),
IF(C_MEAS="Total_Item_Investigations",INDEX($J$26:$J382,MATCH(C382,$F$26:$F382,0)),
IF(C_MEAS="Unique_Item_Investigations",INDEX($K$26:$K382,MATCH(C382,$F$26:$F382,0)),
IF(C_MEAS="User",INDEX($L$26:$L382,MATCH(C382,$F$26:$F382,0))
))))))</f>
        <v>#N/A</v>
      </c>
      <c r="F382"/>
      <c r="G382"/>
      <c r="H382"/>
      <c r="I382"/>
      <c r="J382"/>
      <c r="K382"/>
      <c r="L382"/>
    </row>
    <row r="383" spans="3:12" x14ac:dyDescent="0.35">
      <c r="C383" s="9">
        <f t="array" ref="C383">_xlfn.UNIQUE(F383:F383)</f>
        <v>0</v>
      </c>
      <c r="D383" s="13" t="e">
        <f>IF(C_MEAS="Sessions",INDEX($G$26:G383,MATCH(C383,$F$26:$F383,0)),
IF(C_MEAS="Total_Item_Requests",INDEX($H$26:$H383,MATCH(C383,$F$26:$F383,0)),
IF(C_MEAS="Unique_Item_Requests",INDEX($I$26:$I383,MATCH(C383,$F$26:$F383,0)),
IF(C_MEAS="Total_Item_Investigations",INDEX($J$26:$J383,MATCH(C383,$F$26:$F383,0)),
IF(C_MEAS="Unique_Item_Investigations",INDEX($K$26:$K383,MATCH(C383,$F$26:$F383,0)),
IF(C_MEAS="User",INDEX($L$26:$L383,MATCH(C383,$F$26:$F383,0))
))))))</f>
        <v>#N/A</v>
      </c>
      <c r="F383"/>
      <c r="G383"/>
      <c r="H383"/>
      <c r="I383"/>
      <c r="J383"/>
      <c r="K383"/>
      <c r="L383"/>
    </row>
    <row r="384" spans="3:12" x14ac:dyDescent="0.35">
      <c r="C384" s="9">
        <f t="array" ref="C384">_xlfn.UNIQUE(F384:F384)</f>
        <v>0</v>
      </c>
      <c r="D384" s="13" t="e">
        <f>IF(C_MEAS="Sessions",INDEX($G$26:G384,MATCH(C384,$F$26:$F384,0)),
IF(C_MEAS="Total_Item_Requests",INDEX($H$26:$H384,MATCH(C384,$F$26:$F384,0)),
IF(C_MEAS="Unique_Item_Requests",INDEX($I$26:$I384,MATCH(C384,$F$26:$F384,0)),
IF(C_MEAS="Total_Item_Investigations",INDEX($J$26:$J384,MATCH(C384,$F$26:$F384,0)),
IF(C_MEAS="Unique_Item_Investigations",INDEX($K$26:$K384,MATCH(C384,$F$26:$F384,0)),
IF(C_MEAS="User",INDEX($L$26:$L384,MATCH(C384,$F$26:$F384,0))
))))))</f>
        <v>#N/A</v>
      </c>
      <c r="F384"/>
      <c r="G384"/>
      <c r="H384"/>
      <c r="I384"/>
      <c r="J384"/>
      <c r="K384"/>
      <c r="L384"/>
    </row>
    <row r="385" spans="3:12" x14ac:dyDescent="0.35">
      <c r="C385" s="9">
        <f t="array" ref="C385">_xlfn.UNIQUE(F385:F385)</f>
        <v>0</v>
      </c>
      <c r="D385" s="13" t="e">
        <f>IF(C_MEAS="Sessions",INDEX($G$26:G385,MATCH(C385,$F$26:$F385,0)),
IF(C_MEAS="Total_Item_Requests",INDEX($H$26:$H385,MATCH(C385,$F$26:$F385,0)),
IF(C_MEAS="Unique_Item_Requests",INDEX($I$26:$I385,MATCH(C385,$F$26:$F385,0)),
IF(C_MEAS="Total_Item_Investigations",INDEX($J$26:$J385,MATCH(C385,$F$26:$F385,0)),
IF(C_MEAS="Unique_Item_Investigations",INDEX($K$26:$K385,MATCH(C385,$F$26:$F385,0)),
IF(C_MEAS="User",INDEX($L$26:$L385,MATCH(C385,$F$26:$F385,0))
))))))</f>
        <v>#N/A</v>
      </c>
      <c r="F385"/>
      <c r="G385"/>
      <c r="H385"/>
      <c r="I385"/>
      <c r="J385"/>
      <c r="K385"/>
      <c r="L385"/>
    </row>
    <row r="386" spans="3:12" x14ac:dyDescent="0.35">
      <c r="C386" s="9">
        <f t="array" ref="C386">_xlfn.UNIQUE(F386:F386)</f>
        <v>0</v>
      </c>
      <c r="D386" s="13" t="e">
        <f>IF(C_MEAS="Sessions",INDEX($G$26:G386,MATCH(C386,$F$26:$F386,0)),
IF(C_MEAS="Total_Item_Requests",INDEX($H$26:$H386,MATCH(C386,$F$26:$F386,0)),
IF(C_MEAS="Unique_Item_Requests",INDEX($I$26:$I386,MATCH(C386,$F$26:$F386,0)),
IF(C_MEAS="Total_Item_Investigations",INDEX($J$26:$J386,MATCH(C386,$F$26:$F386,0)),
IF(C_MEAS="Unique_Item_Investigations",INDEX($K$26:$K386,MATCH(C386,$F$26:$F386,0)),
IF(C_MEAS="User",INDEX($L$26:$L386,MATCH(C386,$F$26:$F386,0))
))))))</f>
        <v>#N/A</v>
      </c>
      <c r="F386"/>
      <c r="G386"/>
      <c r="H386"/>
      <c r="I386"/>
      <c r="J386"/>
      <c r="K386"/>
      <c r="L386"/>
    </row>
    <row r="387" spans="3:12" x14ac:dyDescent="0.35">
      <c r="C387" s="9">
        <f t="array" ref="C387">_xlfn.UNIQUE(F387:F387)</f>
        <v>0</v>
      </c>
      <c r="D387" s="13" t="e">
        <f>IF(C_MEAS="Sessions",INDEX($G$26:G387,MATCH(C387,$F$26:$F387,0)),
IF(C_MEAS="Total_Item_Requests",INDEX($H$26:$H387,MATCH(C387,$F$26:$F387,0)),
IF(C_MEAS="Unique_Item_Requests",INDEX($I$26:$I387,MATCH(C387,$F$26:$F387,0)),
IF(C_MEAS="Total_Item_Investigations",INDEX($J$26:$J387,MATCH(C387,$F$26:$F387,0)),
IF(C_MEAS="Unique_Item_Investigations",INDEX($K$26:$K387,MATCH(C387,$F$26:$F387,0)),
IF(C_MEAS="User",INDEX($L$26:$L387,MATCH(C387,$F$26:$F387,0))
))))))</f>
        <v>#N/A</v>
      </c>
      <c r="F387"/>
      <c r="G387"/>
      <c r="H387"/>
      <c r="I387"/>
      <c r="J387"/>
      <c r="K387"/>
      <c r="L387"/>
    </row>
    <row r="388" spans="3:12" x14ac:dyDescent="0.35">
      <c r="C388" s="9">
        <f t="array" ref="C388">_xlfn.UNIQUE(F388:F388)</f>
        <v>0</v>
      </c>
      <c r="D388" s="13" t="e">
        <f>IF(C_MEAS="Sessions",INDEX($G$26:G388,MATCH(C388,$F$26:$F388,0)),
IF(C_MEAS="Total_Item_Requests",INDEX($H$26:$H388,MATCH(C388,$F$26:$F388,0)),
IF(C_MEAS="Unique_Item_Requests",INDEX($I$26:$I388,MATCH(C388,$F$26:$F388,0)),
IF(C_MEAS="Total_Item_Investigations",INDEX($J$26:$J388,MATCH(C388,$F$26:$F388,0)),
IF(C_MEAS="Unique_Item_Investigations",INDEX($K$26:$K388,MATCH(C388,$F$26:$F388,0)),
IF(C_MEAS="User",INDEX($L$26:$L388,MATCH(C388,$F$26:$F388,0))
))))))</f>
        <v>#N/A</v>
      </c>
      <c r="F388"/>
      <c r="G388"/>
      <c r="H388"/>
      <c r="I388"/>
      <c r="J388"/>
      <c r="K388"/>
      <c r="L388"/>
    </row>
    <row r="389" spans="3:12" x14ac:dyDescent="0.35">
      <c r="C389" s="9">
        <f t="array" ref="C389">_xlfn.UNIQUE(F389:F389)</f>
        <v>0</v>
      </c>
      <c r="D389" s="13" t="e">
        <f>IF(C_MEAS="Sessions",INDEX($G$26:G389,MATCH(C389,$F$26:$F389,0)),
IF(C_MEAS="Total_Item_Requests",INDEX($H$26:$H389,MATCH(C389,$F$26:$F389,0)),
IF(C_MEAS="Unique_Item_Requests",INDEX($I$26:$I389,MATCH(C389,$F$26:$F389,0)),
IF(C_MEAS="Total_Item_Investigations",INDEX($J$26:$J389,MATCH(C389,$F$26:$F389,0)),
IF(C_MEAS="Unique_Item_Investigations",INDEX($K$26:$K389,MATCH(C389,$F$26:$F389,0)),
IF(C_MEAS="User",INDEX($L$26:$L389,MATCH(C389,$F$26:$F389,0))
))))))</f>
        <v>#N/A</v>
      </c>
      <c r="F389"/>
      <c r="G389"/>
      <c r="H389"/>
      <c r="I389"/>
      <c r="J389"/>
      <c r="K389"/>
      <c r="L389"/>
    </row>
    <row r="390" spans="3:12" x14ac:dyDescent="0.35">
      <c r="C390" s="9">
        <f t="array" ref="C390">_xlfn.UNIQUE(F390:F390)</f>
        <v>0</v>
      </c>
      <c r="D390" s="13" t="e">
        <f>IF(C_MEAS="Sessions",INDEX($G$26:G390,MATCH(C390,$F$26:$F390,0)),
IF(C_MEAS="Total_Item_Requests",INDEX($H$26:$H390,MATCH(C390,$F$26:$F390,0)),
IF(C_MEAS="Unique_Item_Requests",INDEX($I$26:$I390,MATCH(C390,$F$26:$F390,0)),
IF(C_MEAS="Total_Item_Investigations",INDEX($J$26:$J390,MATCH(C390,$F$26:$F390,0)),
IF(C_MEAS="Unique_Item_Investigations",INDEX($K$26:$K390,MATCH(C390,$F$26:$F390,0)),
IF(C_MEAS="User",INDEX($L$26:$L390,MATCH(C390,$F$26:$F390,0))
))))))</f>
        <v>#N/A</v>
      </c>
      <c r="F390"/>
      <c r="G390"/>
      <c r="H390"/>
      <c r="I390"/>
      <c r="J390"/>
      <c r="K390"/>
      <c r="L390"/>
    </row>
    <row r="391" spans="3:12" x14ac:dyDescent="0.35">
      <c r="C391" s="9">
        <f t="array" ref="C391">_xlfn.UNIQUE(F391:F391)</f>
        <v>0</v>
      </c>
      <c r="D391" s="13" t="e">
        <f>IF(C_MEAS="Sessions",INDEX($G$26:G391,MATCH(C391,$F$26:$F391,0)),
IF(C_MEAS="Total_Item_Requests",INDEX($H$26:$H391,MATCH(C391,$F$26:$F391,0)),
IF(C_MEAS="Unique_Item_Requests",INDEX($I$26:$I391,MATCH(C391,$F$26:$F391,0)),
IF(C_MEAS="Total_Item_Investigations",INDEX($J$26:$J391,MATCH(C391,$F$26:$F391,0)),
IF(C_MEAS="Unique_Item_Investigations",INDEX($K$26:$K391,MATCH(C391,$F$26:$F391,0)),
IF(C_MEAS="User",INDEX($L$26:$L391,MATCH(C391,$F$26:$F391,0))
))))))</f>
        <v>#N/A</v>
      </c>
      <c r="F391"/>
      <c r="G391"/>
      <c r="H391"/>
      <c r="I391"/>
      <c r="J391"/>
      <c r="K391"/>
      <c r="L391"/>
    </row>
    <row r="392" spans="3:12" x14ac:dyDescent="0.35">
      <c r="C392" s="9">
        <f t="array" ref="C392">_xlfn.UNIQUE(F392:F392)</f>
        <v>0</v>
      </c>
      <c r="D392" s="13" t="e">
        <f>IF(C_MEAS="Sessions",INDEX($G$26:G392,MATCH(C392,$F$26:$F392,0)),
IF(C_MEAS="Total_Item_Requests",INDEX($H$26:$H392,MATCH(C392,$F$26:$F392,0)),
IF(C_MEAS="Unique_Item_Requests",INDEX($I$26:$I392,MATCH(C392,$F$26:$F392,0)),
IF(C_MEAS="Total_Item_Investigations",INDEX($J$26:$J392,MATCH(C392,$F$26:$F392,0)),
IF(C_MEAS="Unique_Item_Investigations",INDEX($K$26:$K392,MATCH(C392,$F$26:$F392,0)),
IF(C_MEAS="User",INDEX($L$26:$L392,MATCH(C392,$F$26:$F392,0))
))))))</f>
        <v>#N/A</v>
      </c>
      <c r="F392"/>
      <c r="G392"/>
      <c r="H392"/>
      <c r="I392"/>
      <c r="J392"/>
      <c r="K392"/>
      <c r="L392"/>
    </row>
    <row r="393" spans="3:12" x14ac:dyDescent="0.35">
      <c r="C393" s="9">
        <f t="array" ref="C393">_xlfn.UNIQUE(F393:F393)</f>
        <v>0</v>
      </c>
      <c r="D393" s="13" t="e">
        <f>IF(C_MEAS="Sessions",INDEX($G$26:G393,MATCH(C393,$F$26:$F393,0)),
IF(C_MEAS="Total_Item_Requests",INDEX($H$26:$H393,MATCH(C393,$F$26:$F393,0)),
IF(C_MEAS="Unique_Item_Requests",INDEX($I$26:$I393,MATCH(C393,$F$26:$F393,0)),
IF(C_MEAS="Total_Item_Investigations",INDEX($J$26:$J393,MATCH(C393,$F$26:$F393,0)),
IF(C_MEAS="Unique_Item_Investigations",INDEX($K$26:$K393,MATCH(C393,$F$26:$F393,0)),
IF(C_MEAS="User",INDEX($L$26:$L393,MATCH(C393,$F$26:$F393,0))
))))))</f>
        <v>#N/A</v>
      </c>
      <c r="F393"/>
      <c r="G393"/>
      <c r="H393"/>
      <c r="I393"/>
      <c r="J393"/>
      <c r="K393"/>
      <c r="L393"/>
    </row>
    <row r="394" spans="3:12" x14ac:dyDescent="0.35">
      <c r="C394" s="9">
        <f t="array" ref="C394">_xlfn.UNIQUE(F394:F394)</f>
        <v>0</v>
      </c>
      <c r="D394" s="13" t="e">
        <f>IF(C_MEAS="Sessions",INDEX($G$26:G394,MATCH(C394,$F$26:$F394,0)),
IF(C_MEAS="Total_Item_Requests",INDEX($H$26:$H394,MATCH(C394,$F$26:$F394,0)),
IF(C_MEAS="Unique_Item_Requests",INDEX($I$26:$I394,MATCH(C394,$F$26:$F394,0)),
IF(C_MEAS="Total_Item_Investigations",INDEX($J$26:$J394,MATCH(C394,$F$26:$F394,0)),
IF(C_MEAS="Unique_Item_Investigations",INDEX($K$26:$K394,MATCH(C394,$F$26:$F394,0)),
IF(C_MEAS="User",INDEX($L$26:$L394,MATCH(C394,$F$26:$F394,0))
))))))</f>
        <v>#N/A</v>
      </c>
      <c r="F394"/>
      <c r="G394"/>
      <c r="H394"/>
      <c r="I394"/>
      <c r="J394"/>
      <c r="K394"/>
      <c r="L394"/>
    </row>
    <row r="395" spans="3:12" x14ac:dyDescent="0.35">
      <c r="C395" s="9">
        <f t="array" ref="C395">_xlfn.UNIQUE(F395:F395)</f>
        <v>0</v>
      </c>
      <c r="D395" s="13" t="e">
        <f>IF(C_MEAS="Sessions",INDEX($G$26:G395,MATCH(C395,$F$26:$F395,0)),
IF(C_MEAS="Total_Item_Requests",INDEX($H$26:$H395,MATCH(C395,$F$26:$F395,0)),
IF(C_MEAS="Unique_Item_Requests",INDEX($I$26:$I395,MATCH(C395,$F$26:$F395,0)),
IF(C_MEAS="Total_Item_Investigations",INDEX($J$26:$J395,MATCH(C395,$F$26:$F395,0)),
IF(C_MEAS="Unique_Item_Investigations",INDEX($K$26:$K395,MATCH(C395,$F$26:$F395,0)),
IF(C_MEAS="User",INDEX($L$26:$L395,MATCH(C395,$F$26:$F395,0))
))))))</f>
        <v>#N/A</v>
      </c>
      <c r="F395"/>
      <c r="G395"/>
      <c r="H395"/>
      <c r="I395"/>
      <c r="J395"/>
      <c r="K395"/>
      <c r="L395"/>
    </row>
    <row r="396" spans="3:12" x14ac:dyDescent="0.35">
      <c r="C396" s="9">
        <f t="array" ref="C396">_xlfn.UNIQUE(F396:F396)</f>
        <v>0</v>
      </c>
      <c r="D396" s="13" t="e">
        <f>IF(C_MEAS="Sessions",INDEX($G$26:G396,MATCH(C396,$F$26:$F396,0)),
IF(C_MEAS="Total_Item_Requests",INDEX($H$26:$H396,MATCH(C396,$F$26:$F396,0)),
IF(C_MEAS="Unique_Item_Requests",INDEX($I$26:$I396,MATCH(C396,$F$26:$F396,0)),
IF(C_MEAS="Total_Item_Investigations",INDEX($J$26:$J396,MATCH(C396,$F$26:$F396,0)),
IF(C_MEAS="Unique_Item_Investigations",INDEX($K$26:$K396,MATCH(C396,$F$26:$F396,0)),
IF(C_MEAS="User",INDEX($L$26:$L396,MATCH(C396,$F$26:$F396,0))
))))))</f>
        <v>#N/A</v>
      </c>
      <c r="F396"/>
      <c r="G396"/>
      <c r="H396"/>
      <c r="I396"/>
      <c r="J396"/>
      <c r="K396"/>
      <c r="L396"/>
    </row>
    <row r="397" spans="3:12" x14ac:dyDescent="0.35">
      <c r="C397" s="9">
        <f t="array" ref="C397">_xlfn.UNIQUE(F397:F397)</f>
        <v>0</v>
      </c>
      <c r="D397" s="13" t="e">
        <f>IF(C_MEAS="Sessions",INDEX($G$26:G397,MATCH(C397,$F$26:$F397,0)),
IF(C_MEAS="Total_Item_Requests",INDEX($H$26:$H397,MATCH(C397,$F$26:$F397,0)),
IF(C_MEAS="Unique_Item_Requests",INDEX($I$26:$I397,MATCH(C397,$F$26:$F397,0)),
IF(C_MEAS="Total_Item_Investigations",INDEX($J$26:$J397,MATCH(C397,$F$26:$F397,0)),
IF(C_MEAS="Unique_Item_Investigations",INDEX($K$26:$K397,MATCH(C397,$F$26:$F397,0)),
IF(C_MEAS="User",INDEX($L$26:$L397,MATCH(C397,$F$26:$F397,0))
))))))</f>
        <v>#N/A</v>
      </c>
      <c r="F397"/>
      <c r="G397"/>
      <c r="H397"/>
      <c r="I397"/>
      <c r="J397"/>
      <c r="K397"/>
      <c r="L397"/>
    </row>
    <row r="398" spans="3:12" x14ac:dyDescent="0.35">
      <c r="C398" s="9">
        <f t="array" ref="C398">_xlfn.UNIQUE(F398:F398)</f>
        <v>0</v>
      </c>
      <c r="D398" s="13" t="e">
        <f>IF(C_MEAS="Sessions",INDEX($G$26:G398,MATCH(C398,$F$26:$F398,0)),
IF(C_MEAS="Total_Item_Requests",INDEX($H$26:$H398,MATCH(C398,$F$26:$F398,0)),
IF(C_MEAS="Unique_Item_Requests",INDEX($I$26:$I398,MATCH(C398,$F$26:$F398,0)),
IF(C_MEAS="Total_Item_Investigations",INDEX($J$26:$J398,MATCH(C398,$F$26:$F398,0)),
IF(C_MEAS="Unique_Item_Investigations",INDEX($K$26:$K398,MATCH(C398,$F$26:$F398,0)),
IF(C_MEAS="User",INDEX($L$26:$L398,MATCH(C398,$F$26:$F398,0))
))))))</f>
        <v>#N/A</v>
      </c>
      <c r="F398"/>
      <c r="G398"/>
      <c r="H398"/>
      <c r="I398"/>
      <c r="J398"/>
      <c r="K398"/>
      <c r="L398"/>
    </row>
    <row r="399" spans="3:12" x14ac:dyDescent="0.35">
      <c r="C399" s="9">
        <f t="array" ref="C399">_xlfn.UNIQUE(F399:F399)</f>
        <v>0</v>
      </c>
      <c r="D399" s="13" t="e">
        <f>IF(C_MEAS="Sessions",INDEX($G$26:G399,MATCH(C399,$F$26:$F399,0)),
IF(C_MEAS="Total_Item_Requests",INDEX($H$26:$H399,MATCH(C399,$F$26:$F399,0)),
IF(C_MEAS="Unique_Item_Requests",INDEX($I$26:$I399,MATCH(C399,$F$26:$F399,0)),
IF(C_MEAS="Total_Item_Investigations",INDEX($J$26:$J399,MATCH(C399,$F$26:$F399,0)),
IF(C_MEAS="Unique_Item_Investigations",INDEX($K$26:$K399,MATCH(C399,$F$26:$F399,0)),
IF(C_MEAS="User",INDEX($L$26:$L399,MATCH(C399,$F$26:$F399,0))
))))))</f>
        <v>#N/A</v>
      </c>
      <c r="F399"/>
      <c r="G399"/>
      <c r="H399"/>
      <c r="I399"/>
      <c r="J399"/>
      <c r="K399"/>
      <c r="L399"/>
    </row>
    <row r="400" spans="3:12" x14ac:dyDescent="0.35">
      <c r="C400" s="9">
        <f t="array" ref="C400">_xlfn.UNIQUE(F400:F400)</f>
        <v>0</v>
      </c>
      <c r="D400" s="13" t="e">
        <f>IF(C_MEAS="Sessions",INDEX($G$26:G400,MATCH(C400,$F$26:$F400,0)),
IF(C_MEAS="Total_Item_Requests",INDEX($H$26:$H400,MATCH(C400,$F$26:$F400,0)),
IF(C_MEAS="Unique_Item_Requests",INDEX($I$26:$I400,MATCH(C400,$F$26:$F400,0)),
IF(C_MEAS="Total_Item_Investigations",INDEX($J$26:$J400,MATCH(C400,$F$26:$F400,0)),
IF(C_MEAS="Unique_Item_Investigations",INDEX($K$26:$K400,MATCH(C400,$F$26:$F400,0)),
IF(C_MEAS="User",INDEX($L$26:$L400,MATCH(C400,$F$26:$F400,0))
))))))</f>
        <v>#N/A</v>
      </c>
      <c r="F400"/>
      <c r="G400"/>
      <c r="H400"/>
      <c r="I400"/>
      <c r="J400"/>
      <c r="K400"/>
      <c r="L400"/>
    </row>
    <row r="401" spans="3:12" x14ac:dyDescent="0.35">
      <c r="C401" s="9">
        <f t="array" ref="C401">_xlfn.UNIQUE(F401:F401)</f>
        <v>0</v>
      </c>
      <c r="D401" s="13" t="e">
        <f>IF(C_MEAS="Sessions",INDEX($G$26:G401,MATCH(C401,$F$26:$F401,0)),
IF(C_MEAS="Total_Item_Requests",INDEX($H$26:$H401,MATCH(C401,$F$26:$F401,0)),
IF(C_MEAS="Unique_Item_Requests",INDEX($I$26:$I401,MATCH(C401,$F$26:$F401,0)),
IF(C_MEAS="Total_Item_Investigations",INDEX($J$26:$J401,MATCH(C401,$F$26:$F401,0)),
IF(C_MEAS="Unique_Item_Investigations",INDEX($K$26:$K401,MATCH(C401,$F$26:$F401,0)),
IF(C_MEAS="User",INDEX($L$26:$L401,MATCH(C401,$F$26:$F401,0))
))))))</f>
        <v>#N/A</v>
      </c>
      <c r="F401"/>
      <c r="G401"/>
      <c r="H401"/>
      <c r="I401"/>
      <c r="J401"/>
      <c r="K401"/>
      <c r="L401"/>
    </row>
    <row r="402" spans="3:12" x14ac:dyDescent="0.35">
      <c r="C402" s="9">
        <f t="array" ref="C402">_xlfn.UNIQUE(F402:F402)</f>
        <v>0</v>
      </c>
      <c r="D402" s="13" t="e">
        <f>IF(C_MEAS="Sessions",INDEX($G$26:G402,MATCH(C402,$F$26:$F402,0)),
IF(C_MEAS="Total_Item_Requests",INDEX($H$26:$H402,MATCH(C402,$F$26:$F402,0)),
IF(C_MEAS="Unique_Item_Requests",INDEX($I$26:$I402,MATCH(C402,$F$26:$F402,0)),
IF(C_MEAS="Total_Item_Investigations",INDEX($J$26:$J402,MATCH(C402,$F$26:$F402,0)),
IF(C_MEAS="Unique_Item_Investigations",INDEX($K$26:$K402,MATCH(C402,$F$26:$F402,0)),
IF(C_MEAS="User",INDEX($L$26:$L402,MATCH(C402,$F$26:$F402,0))
))))))</f>
        <v>#N/A</v>
      </c>
      <c r="F402"/>
      <c r="G402"/>
      <c r="H402"/>
      <c r="I402"/>
      <c r="J402"/>
      <c r="K402"/>
      <c r="L402"/>
    </row>
    <row r="403" spans="3:12" x14ac:dyDescent="0.35">
      <c r="C403" s="9">
        <f t="array" ref="C403">_xlfn.UNIQUE(F403:F403)</f>
        <v>0</v>
      </c>
      <c r="D403" s="13" t="e">
        <f>IF(C_MEAS="Sessions",INDEX($G$26:G403,MATCH(C403,$F$26:$F403,0)),
IF(C_MEAS="Total_Item_Requests",INDEX($H$26:$H403,MATCH(C403,$F$26:$F403,0)),
IF(C_MEAS="Unique_Item_Requests",INDEX($I$26:$I403,MATCH(C403,$F$26:$F403,0)),
IF(C_MEAS="Total_Item_Investigations",INDEX($J$26:$J403,MATCH(C403,$F$26:$F403,0)),
IF(C_MEAS="Unique_Item_Investigations",INDEX($K$26:$K403,MATCH(C403,$F$26:$F403,0)),
IF(C_MEAS="User",INDEX($L$26:$L403,MATCH(C403,$F$26:$F403,0))
))))))</f>
        <v>#N/A</v>
      </c>
      <c r="F403"/>
      <c r="G403"/>
      <c r="H403"/>
      <c r="I403"/>
      <c r="J403"/>
      <c r="K403"/>
      <c r="L403"/>
    </row>
    <row r="404" spans="3:12" x14ac:dyDescent="0.35">
      <c r="C404" s="9">
        <f t="array" ref="C404">_xlfn.UNIQUE(F404:F404)</f>
        <v>0</v>
      </c>
      <c r="D404" s="13" t="e">
        <f>IF(C_MEAS="Sessions",INDEX($G$26:G404,MATCH(C404,$F$26:$F404,0)),
IF(C_MEAS="Total_Item_Requests",INDEX($H$26:$H404,MATCH(C404,$F$26:$F404,0)),
IF(C_MEAS="Unique_Item_Requests",INDEX($I$26:$I404,MATCH(C404,$F$26:$F404,0)),
IF(C_MEAS="Total_Item_Investigations",INDEX($J$26:$J404,MATCH(C404,$F$26:$F404,0)),
IF(C_MEAS="Unique_Item_Investigations",INDEX($K$26:$K404,MATCH(C404,$F$26:$F404,0)),
IF(C_MEAS="User",INDEX($L$26:$L404,MATCH(C404,$F$26:$F404,0))
))))))</f>
        <v>#N/A</v>
      </c>
      <c r="F404"/>
      <c r="G404"/>
      <c r="H404"/>
      <c r="I404"/>
      <c r="J404"/>
      <c r="K404"/>
      <c r="L404"/>
    </row>
    <row r="405" spans="3:12" x14ac:dyDescent="0.35">
      <c r="C405" s="9">
        <f t="array" ref="C405">_xlfn.UNIQUE(F405:F405)</f>
        <v>0</v>
      </c>
      <c r="D405" s="13" t="e">
        <f>IF(C_MEAS="Sessions",INDEX($G$26:G405,MATCH(C405,$F$26:$F405,0)),
IF(C_MEAS="Total_Item_Requests",INDEX($H$26:$H405,MATCH(C405,$F$26:$F405,0)),
IF(C_MEAS="Unique_Item_Requests",INDEX($I$26:$I405,MATCH(C405,$F$26:$F405,0)),
IF(C_MEAS="Total_Item_Investigations",INDEX($J$26:$J405,MATCH(C405,$F$26:$F405,0)),
IF(C_MEAS="Unique_Item_Investigations",INDEX($K$26:$K405,MATCH(C405,$F$26:$F405,0)),
IF(C_MEAS="User",INDEX($L$26:$L405,MATCH(C405,$F$26:$F405,0))
))))))</f>
        <v>#N/A</v>
      </c>
      <c r="F405"/>
      <c r="G405"/>
      <c r="H405"/>
      <c r="I405"/>
      <c r="J405"/>
      <c r="K405"/>
      <c r="L405"/>
    </row>
    <row r="406" spans="3:12" x14ac:dyDescent="0.35">
      <c r="C406" s="9">
        <f t="array" ref="C406">_xlfn.UNIQUE(F406:F406)</f>
        <v>0</v>
      </c>
      <c r="D406" s="13" t="e">
        <f>IF(C_MEAS="Sessions",INDEX($G$26:G406,MATCH(C406,$F$26:$F406,0)),
IF(C_MEAS="Total_Item_Requests",INDEX($H$26:$H406,MATCH(C406,$F$26:$F406,0)),
IF(C_MEAS="Unique_Item_Requests",INDEX($I$26:$I406,MATCH(C406,$F$26:$F406,0)),
IF(C_MEAS="Total_Item_Investigations",INDEX($J$26:$J406,MATCH(C406,$F$26:$F406,0)),
IF(C_MEAS="Unique_Item_Investigations",INDEX($K$26:$K406,MATCH(C406,$F$26:$F406,0)),
IF(C_MEAS="User",INDEX($L$26:$L406,MATCH(C406,$F$26:$F406,0))
))))))</f>
        <v>#N/A</v>
      </c>
      <c r="F406"/>
      <c r="G406"/>
      <c r="H406"/>
      <c r="I406"/>
      <c r="J406"/>
      <c r="K406"/>
      <c r="L406"/>
    </row>
    <row r="407" spans="3:12" x14ac:dyDescent="0.35">
      <c r="C407" s="9">
        <f t="array" ref="C407">_xlfn.UNIQUE(F407:F407)</f>
        <v>0</v>
      </c>
      <c r="D407" s="13" t="e">
        <f>IF(C_MEAS="Sessions",INDEX($G$26:G407,MATCH(C407,$F$26:$F407,0)),
IF(C_MEAS="Total_Item_Requests",INDEX($H$26:$H407,MATCH(C407,$F$26:$F407,0)),
IF(C_MEAS="Unique_Item_Requests",INDEX($I$26:$I407,MATCH(C407,$F$26:$F407,0)),
IF(C_MEAS="Total_Item_Investigations",INDEX($J$26:$J407,MATCH(C407,$F$26:$F407,0)),
IF(C_MEAS="Unique_Item_Investigations",INDEX($K$26:$K407,MATCH(C407,$F$26:$F407,0)),
IF(C_MEAS="User",INDEX($L$26:$L407,MATCH(C407,$F$26:$F407,0))
))))))</f>
        <v>#N/A</v>
      </c>
      <c r="F407"/>
      <c r="G407"/>
      <c r="H407"/>
      <c r="I407"/>
      <c r="J407"/>
      <c r="K407"/>
      <c r="L407"/>
    </row>
    <row r="408" spans="3:12" x14ac:dyDescent="0.35">
      <c r="C408" s="9">
        <f t="array" ref="C408">_xlfn.UNIQUE(F408:F408)</f>
        <v>0</v>
      </c>
      <c r="D408" s="13" t="e">
        <f>IF(C_MEAS="Sessions",INDEX($G$26:G408,MATCH(C408,$F$26:$F408,0)),
IF(C_MEAS="Total_Item_Requests",INDEX($H$26:$H408,MATCH(C408,$F$26:$F408,0)),
IF(C_MEAS="Unique_Item_Requests",INDEX($I$26:$I408,MATCH(C408,$F$26:$F408,0)),
IF(C_MEAS="Total_Item_Investigations",INDEX($J$26:$J408,MATCH(C408,$F$26:$F408,0)),
IF(C_MEAS="Unique_Item_Investigations",INDEX($K$26:$K408,MATCH(C408,$F$26:$F408,0)),
IF(C_MEAS="User",INDEX($L$26:$L408,MATCH(C408,$F$26:$F408,0))
))))))</f>
        <v>#N/A</v>
      </c>
      <c r="F408"/>
      <c r="G408"/>
      <c r="H408"/>
      <c r="I408"/>
      <c r="J408"/>
      <c r="K408"/>
      <c r="L408"/>
    </row>
    <row r="409" spans="3:12" x14ac:dyDescent="0.35">
      <c r="C409" s="9">
        <f t="array" ref="C409">_xlfn.UNIQUE(F409:F409)</f>
        <v>0</v>
      </c>
      <c r="D409" s="13" t="e">
        <f>IF(C_MEAS="Sessions",INDEX($G$26:G409,MATCH(C409,$F$26:$F409,0)),
IF(C_MEAS="Total_Item_Requests",INDEX($H$26:$H409,MATCH(C409,$F$26:$F409,0)),
IF(C_MEAS="Unique_Item_Requests",INDEX($I$26:$I409,MATCH(C409,$F$26:$F409,0)),
IF(C_MEAS="Total_Item_Investigations",INDEX($J$26:$J409,MATCH(C409,$F$26:$F409,0)),
IF(C_MEAS="Unique_Item_Investigations",INDEX($K$26:$K409,MATCH(C409,$F$26:$F409,0)),
IF(C_MEAS="User",INDEX($L$26:$L409,MATCH(C409,$F$26:$F409,0))
))))))</f>
        <v>#N/A</v>
      </c>
      <c r="F409"/>
      <c r="G409"/>
      <c r="H409"/>
      <c r="I409"/>
      <c r="J409"/>
      <c r="K409"/>
      <c r="L409"/>
    </row>
    <row r="410" spans="3:12" x14ac:dyDescent="0.35">
      <c r="C410" s="9">
        <f t="array" ref="C410">_xlfn.UNIQUE(F410:F410)</f>
        <v>0</v>
      </c>
      <c r="D410" s="13" t="e">
        <f>IF(C_MEAS="Sessions",INDEX($G$26:G410,MATCH(C410,$F$26:$F410,0)),
IF(C_MEAS="Total_Item_Requests",INDEX($H$26:$H410,MATCH(C410,$F$26:$F410,0)),
IF(C_MEAS="Unique_Item_Requests",INDEX($I$26:$I410,MATCH(C410,$F$26:$F410,0)),
IF(C_MEAS="Total_Item_Investigations",INDEX($J$26:$J410,MATCH(C410,$F$26:$F410,0)),
IF(C_MEAS="Unique_Item_Investigations",INDEX($K$26:$K410,MATCH(C410,$F$26:$F410,0)),
IF(C_MEAS="User",INDEX($L$26:$L410,MATCH(C410,$F$26:$F410,0))
))))))</f>
        <v>#N/A</v>
      </c>
      <c r="F410"/>
      <c r="G410"/>
      <c r="H410"/>
      <c r="I410"/>
      <c r="J410"/>
      <c r="K410"/>
      <c r="L410"/>
    </row>
    <row r="411" spans="3:12" x14ac:dyDescent="0.35">
      <c r="C411" s="9">
        <f t="array" ref="C411">_xlfn.UNIQUE(F411:F411)</f>
        <v>0</v>
      </c>
      <c r="D411" s="13" t="e">
        <f>IF(C_MEAS="Sessions",INDEX($G$26:G411,MATCH(C411,$F$26:$F411,0)),
IF(C_MEAS="Total_Item_Requests",INDEX($H$26:$H411,MATCH(C411,$F$26:$F411,0)),
IF(C_MEAS="Unique_Item_Requests",INDEX($I$26:$I411,MATCH(C411,$F$26:$F411,0)),
IF(C_MEAS="Total_Item_Investigations",INDEX($J$26:$J411,MATCH(C411,$F$26:$F411,0)),
IF(C_MEAS="Unique_Item_Investigations",INDEX($K$26:$K411,MATCH(C411,$F$26:$F411,0)),
IF(C_MEAS="User",INDEX($L$26:$L411,MATCH(C411,$F$26:$F411,0))
))))))</f>
        <v>#N/A</v>
      </c>
      <c r="F411"/>
      <c r="G411"/>
      <c r="H411"/>
      <c r="I411"/>
      <c r="J411"/>
      <c r="K411"/>
      <c r="L411"/>
    </row>
    <row r="412" spans="3:12" x14ac:dyDescent="0.35">
      <c r="C412" s="9">
        <f t="array" ref="C412">_xlfn.UNIQUE(F412:F412)</f>
        <v>0</v>
      </c>
      <c r="D412" s="13" t="e">
        <f>IF(C_MEAS="Sessions",INDEX($G$26:G412,MATCH(C412,$F$26:$F412,0)),
IF(C_MEAS="Total_Item_Requests",INDEX($H$26:$H412,MATCH(C412,$F$26:$F412,0)),
IF(C_MEAS="Unique_Item_Requests",INDEX($I$26:$I412,MATCH(C412,$F$26:$F412,0)),
IF(C_MEAS="Total_Item_Investigations",INDEX($J$26:$J412,MATCH(C412,$F$26:$F412,0)),
IF(C_MEAS="Unique_Item_Investigations",INDEX($K$26:$K412,MATCH(C412,$F$26:$F412,0)),
IF(C_MEAS="User",INDEX($L$26:$L412,MATCH(C412,$F$26:$F412,0))
))))))</f>
        <v>#N/A</v>
      </c>
      <c r="F412"/>
      <c r="G412"/>
      <c r="H412"/>
      <c r="I412"/>
      <c r="J412"/>
      <c r="K412"/>
      <c r="L412"/>
    </row>
    <row r="413" spans="3:12" x14ac:dyDescent="0.35">
      <c r="C413" s="9">
        <f t="array" ref="C413">_xlfn.UNIQUE(F413:F413)</f>
        <v>0</v>
      </c>
      <c r="D413" s="13" t="e">
        <f>IF(C_MEAS="Sessions",INDEX($G$26:G413,MATCH(C413,$F$26:$F413,0)),
IF(C_MEAS="Total_Item_Requests",INDEX($H$26:$H413,MATCH(C413,$F$26:$F413,0)),
IF(C_MEAS="Unique_Item_Requests",INDEX($I$26:$I413,MATCH(C413,$F$26:$F413,0)),
IF(C_MEAS="Total_Item_Investigations",INDEX($J$26:$J413,MATCH(C413,$F$26:$F413,0)),
IF(C_MEAS="Unique_Item_Investigations",INDEX($K$26:$K413,MATCH(C413,$F$26:$F413,0)),
IF(C_MEAS="User",INDEX($L$26:$L413,MATCH(C413,$F$26:$F413,0))
))))))</f>
        <v>#N/A</v>
      </c>
      <c r="F413"/>
      <c r="G413"/>
      <c r="H413"/>
      <c r="I413"/>
      <c r="J413"/>
      <c r="K413"/>
      <c r="L413"/>
    </row>
    <row r="414" spans="3:12" x14ac:dyDescent="0.35">
      <c r="C414" s="9">
        <f t="array" ref="C414">_xlfn.UNIQUE(F414:F414)</f>
        <v>0</v>
      </c>
      <c r="D414" s="13" t="e">
        <f>IF(C_MEAS="Sessions",INDEX($G$26:G414,MATCH(C414,$F$26:$F414,0)),
IF(C_MEAS="Total_Item_Requests",INDEX($H$26:$H414,MATCH(C414,$F$26:$F414,0)),
IF(C_MEAS="Unique_Item_Requests",INDEX($I$26:$I414,MATCH(C414,$F$26:$F414,0)),
IF(C_MEAS="Total_Item_Investigations",INDEX($J$26:$J414,MATCH(C414,$F$26:$F414,0)),
IF(C_MEAS="Unique_Item_Investigations",INDEX($K$26:$K414,MATCH(C414,$F$26:$F414,0)),
IF(C_MEAS="User",INDEX($L$26:$L414,MATCH(C414,$F$26:$F414,0))
))))))</f>
        <v>#N/A</v>
      </c>
      <c r="F414"/>
      <c r="G414"/>
      <c r="H414"/>
      <c r="I414"/>
      <c r="J414"/>
      <c r="K414"/>
      <c r="L414"/>
    </row>
    <row r="415" spans="3:12" x14ac:dyDescent="0.35">
      <c r="C415" s="9">
        <f t="array" ref="C415">_xlfn.UNIQUE(F415:F415)</f>
        <v>0</v>
      </c>
      <c r="D415" s="13" t="e">
        <f>IF(C_MEAS="Sessions",INDEX($G$26:G415,MATCH(C415,$F$26:$F415,0)),
IF(C_MEAS="Total_Item_Requests",INDEX($H$26:$H415,MATCH(C415,$F$26:$F415,0)),
IF(C_MEAS="Unique_Item_Requests",INDEX($I$26:$I415,MATCH(C415,$F$26:$F415,0)),
IF(C_MEAS="Total_Item_Investigations",INDEX($J$26:$J415,MATCH(C415,$F$26:$F415,0)),
IF(C_MEAS="Unique_Item_Investigations",INDEX($K$26:$K415,MATCH(C415,$F$26:$F415,0)),
IF(C_MEAS="User",INDEX($L$26:$L415,MATCH(C415,$F$26:$F415,0))
))))))</f>
        <v>#N/A</v>
      </c>
      <c r="F415"/>
      <c r="G415"/>
      <c r="H415"/>
      <c r="I415"/>
      <c r="J415"/>
      <c r="K415"/>
      <c r="L415"/>
    </row>
    <row r="416" spans="3:12" x14ac:dyDescent="0.35">
      <c r="C416" s="9">
        <f t="array" ref="C416">_xlfn.UNIQUE(F416:F416)</f>
        <v>0</v>
      </c>
      <c r="D416" s="13" t="e">
        <f>IF(C_MEAS="Sessions",INDEX($G$26:G416,MATCH(C416,$F$26:$F416,0)),
IF(C_MEAS="Total_Item_Requests",INDEX($H$26:$H416,MATCH(C416,$F$26:$F416,0)),
IF(C_MEAS="Unique_Item_Requests",INDEX($I$26:$I416,MATCH(C416,$F$26:$F416,0)),
IF(C_MEAS="Total_Item_Investigations",INDEX($J$26:$J416,MATCH(C416,$F$26:$F416,0)),
IF(C_MEAS="Unique_Item_Investigations",INDEX($K$26:$K416,MATCH(C416,$F$26:$F416,0)),
IF(C_MEAS="User",INDEX($L$26:$L416,MATCH(C416,$F$26:$F416,0))
))))))</f>
        <v>#N/A</v>
      </c>
      <c r="F416"/>
      <c r="G416"/>
      <c r="H416"/>
      <c r="I416"/>
      <c r="J416"/>
      <c r="K416"/>
      <c r="L416"/>
    </row>
    <row r="417" spans="3:12" x14ac:dyDescent="0.35">
      <c r="C417" s="9">
        <f t="array" ref="C417">_xlfn.UNIQUE(F417:F417)</f>
        <v>0</v>
      </c>
      <c r="D417" s="13" t="e">
        <f>IF(C_MEAS="Sessions",INDEX($G$26:G417,MATCH(C417,$F$26:$F417,0)),
IF(C_MEAS="Total_Item_Requests",INDEX($H$26:$H417,MATCH(C417,$F$26:$F417,0)),
IF(C_MEAS="Unique_Item_Requests",INDEX($I$26:$I417,MATCH(C417,$F$26:$F417,0)),
IF(C_MEAS="Total_Item_Investigations",INDEX($J$26:$J417,MATCH(C417,$F$26:$F417,0)),
IF(C_MEAS="Unique_Item_Investigations",INDEX($K$26:$K417,MATCH(C417,$F$26:$F417,0)),
IF(C_MEAS="User",INDEX($L$26:$L417,MATCH(C417,$F$26:$F417,0))
))))))</f>
        <v>#N/A</v>
      </c>
      <c r="F417"/>
      <c r="G417"/>
      <c r="H417"/>
      <c r="I417"/>
      <c r="J417"/>
      <c r="K417"/>
      <c r="L417"/>
    </row>
    <row r="418" spans="3:12" x14ac:dyDescent="0.35">
      <c r="C418" s="9">
        <f t="array" ref="C418">_xlfn.UNIQUE(F418:F418)</f>
        <v>0</v>
      </c>
      <c r="D418" s="13" t="e">
        <f>IF(C_MEAS="Sessions",INDEX($G$26:G418,MATCH(C418,$F$26:$F418,0)),
IF(C_MEAS="Total_Item_Requests",INDEX($H$26:$H418,MATCH(C418,$F$26:$F418,0)),
IF(C_MEAS="Unique_Item_Requests",INDEX($I$26:$I418,MATCH(C418,$F$26:$F418,0)),
IF(C_MEAS="Total_Item_Investigations",INDEX($J$26:$J418,MATCH(C418,$F$26:$F418,0)),
IF(C_MEAS="Unique_Item_Investigations",INDEX($K$26:$K418,MATCH(C418,$F$26:$F418,0)),
IF(C_MEAS="User",INDEX($L$26:$L418,MATCH(C418,$F$26:$F418,0))
))))))</f>
        <v>#N/A</v>
      </c>
      <c r="F418"/>
      <c r="G418"/>
      <c r="H418"/>
      <c r="I418"/>
      <c r="J418"/>
      <c r="K418"/>
      <c r="L418"/>
    </row>
    <row r="419" spans="3:12" x14ac:dyDescent="0.35">
      <c r="C419" s="9">
        <f t="array" ref="C419">_xlfn.UNIQUE(F419:F419)</f>
        <v>0</v>
      </c>
      <c r="D419" s="13" t="e">
        <f>IF(C_MEAS="Sessions",INDEX($G$26:G419,MATCH(C419,$F$26:$F419,0)),
IF(C_MEAS="Total_Item_Requests",INDEX($H$26:$H419,MATCH(C419,$F$26:$F419,0)),
IF(C_MEAS="Unique_Item_Requests",INDEX($I$26:$I419,MATCH(C419,$F$26:$F419,0)),
IF(C_MEAS="Total_Item_Investigations",INDEX($J$26:$J419,MATCH(C419,$F$26:$F419,0)),
IF(C_MEAS="Unique_Item_Investigations",INDEX($K$26:$K419,MATCH(C419,$F$26:$F419,0)),
IF(C_MEAS="User",INDEX($L$26:$L419,MATCH(C419,$F$26:$F419,0))
))))))</f>
        <v>#N/A</v>
      </c>
      <c r="F419"/>
      <c r="G419"/>
      <c r="H419"/>
      <c r="I419"/>
      <c r="J419"/>
      <c r="K419"/>
      <c r="L419"/>
    </row>
    <row r="420" spans="3:12" x14ac:dyDescent="0.35">
      <c r="C420" s="9">
        <f t="array" ref="C420">_xlfn.UNIQUE(F420:F420)</f>
        <v>0</v>
      </c>
      <c r="D420" s="13" t="e">
        <f>IF(C_MEAS="Sessions",INDEX($G$26:G420,MATCH(C420,$F$26:$F420,0)),
IF(C_MEAS="Total_Item_Requests",INDEX($H$26:$H420,MATCH(C420,$F$26:$F420,0)),
IF(C_MEAS="Unique_Item_Requests",INDEX($I$26:$I420,MATCH(C420,$F$26:$F420,0)),
IF(C_MEAS="Total_Item_Investigations",INDEX($J$26:$J420,MATCH(C420,$F$26:$F420,0)),
IF(C_MEAS="Unique_Item_Investigations",INDEX($K$26:$K420,MATCH(C420,$F$26:$F420,0)),
IF(C_MEAS="User",INDEX($L$26:$L420,MATCH(C420,$F$26:$F420,0))
))))))</f>
        <v>#N/A</v>
      </c>
      <c r="F420"/>
      <c r="G420"/>
      <c r="H420"/>
      <c r="I420"/>
      <c r="J420"/>
      <c r="K420"/>
      <c r="L420"/>
    </row>
    <row r="421" spans="3:12" x14ac:dyDescent="0.35">
      <c r="C421" s="9">
        <f t="array" ref="C421">_xlfn.UNIQUE(F421:F421)</f>
        <v>0</v>
      </c>
      <c r="D421" s="13" t="e">
        <f>IF(C_MEAS="Sessions",INDEX($G$26:G421,MATCH(C421,$F$26:$F421,0)),
IF(C_MEAS="Total_Item_Requests",INDEX($H$26:$H421,MATCH(C421,$F$26:$F421,0)),
IF(C_MEAS="Unique_Item_Requests",INDEX($I$26:$I421,MATCH(C421,$F$26:$F421,0)),
IF(C_MEAS="Total_Item_Investigations",INDEX($J$26:$J421,MATCH(C421,$F$26:$F421,0)),
IF(C_MEAS="Unique_Item_Investigations",INDEX($K$26:$K421,MATCH(C421,$F$26:$F421,0)),
IF(C_MEAS="User",INDEX($L$26:$L421,MATCH(C421,$F$26:$F421,0))
))))))</f>
        <v>#N/A</v>
      </c>
      <c r="F421"/>
      <c r="G421"/>
      <c r="H421"/>
      <c r="I421"/>
      <c r="J421"/>
      <c r="K421"/>
      <c r="L421"/>
    </row>
    <row r="422" spans="3:12" x14ac:dyDescent="0.35">
      <c r="C422" s="9">
        <f t="array" ref="C422">_xlfn.UNIQUE(F422:F422)</f>
        <v>0</v>
      </c>
      <c r="D422" s="13" t="e">
        <f>IF(C_MEAS="Sessions",INDEX($G$26:G422,MATCH(C422,$F$26:$F422,0)),
IF(C_MEAS="Total_Item_Requests",INDEX($H$26:$H422,MATCH(C422,$F$26:$F422,0)),
IF(C_MEAS="Unique_Item_Requests",INDEX($I$26:$I422,MATCH(C422,$F$26:$F422,0)),
IF(C_MEAS="Total_Item_Investigations",INDEX($J$26:$J422,MATCH(C422,$F$26:$F422,0)),
IF(C_MEAS="Unique_Item_Investigations",INDEX($K$26:$K422,MATCH(C422,$F$26:$F422,0)),
IF(C_MEAS="User",INDEX($L$26:$L422,MATCH(C422,$F$26:$F422,0))
))))))</f>
        <v>#N/A</v>
      </c>
      <c r="F422"/>
      <c r="G422"/>
      <c r="H422"/>
      <c r="I422"/>
      <c r="J422"/>
      <c r="K422"/>
      <c r="L422"/>
    </row>
    <row r="423" spans="3:12" x14ac:dyDescent="0.35">
      <c r="C423" s="9">
        <f t="array" ref="C423">_xlfn.UNIQUE(F423:F423)</f>
        <v>0</v>
      </c>
      <c r="D423" s="13" t="e">
        <f>IF(C_MEAS="Sessions",INDEX($G$26:G423,MATCH(C423,$F$26:$F423,0)),
IF(C_MEAS="Total_Item_Requests",INDEX($H$26:$H423,MATCH(C423,$F$26:$F423,0)),
IF(C_MEAS="Unique_Item_Requests",INDEX($I$26:$I423,MATCH(C423,$F$26:$F423,0)),
IF(C_MEAS="Total_Item_Investigations",INDEX($J$26:$J423,MATCH(C423,$F$26:$F423,0)),
IF(C_MEAS="Unique_Item_Investigations",INDEX($K$26:$K423,MATCH(C423,$F$26:$F423,0)),
IF(C_MEAS="User",INDEX($L$26:$L423,MATCH(C423,$F$26:$F423,0))
))))))</f>
        <v>#N/A</v>
      </c>
      <c r="F423"/>
      <c r="G423"/>
      <c r="H423"/>
      <c r="I423"/>
      <c r="J423"/>
      <c r="K423"/>
      <c r="L423"/>
    </row>
    <row r="424" spans="3:12" x14ac:dyDescent="0.35">
      <c r="C424" s="9">
        <f t="array" ref="C424">_xlfn.UNIQUE(F424:F424)</f>
        <v>0</v>
      </c>
      <c r="D424" s="13" t="e">
        <f>IF(C_MEAS="Sessions",INDEX($G$26:G424,MATCH(C424,$F$26:$F424,0)),
IF(C_MEAS="Total_Item_Requests",INDEX($H$26:$H424,MATCH(C424,$F$26:$F424,0)),
IF(C_MEAS="Unique_Item_Requests",INDEX($I$26:$I424,MATCH(C424,$F$26:$F424,0)),
IF(C_MEAS="Total_Item_Investigations",INDEX($J$26:$J424,MATCH(C424,$F$26:$F424,0)),
IF(C_MEAS="Unique_Item_Investigations",INDEX($K$26:$K424,MATCH(C424,$F$26:$F424,0)),
IF(C_MEAS="User",INDEX($L$26:$L424,MATCH(C424,$F$26:$F424,0))
))))))</f>
        <v>#N/A</v>
      </c>
      <c r="F424"/>
      <c r="G424"/>
      <c r="H424"/>
      <c r="I424"/>
      <c r="J424"/>
      <c r="K424"/>
      <c r="L424"/>
    </row>
    <row r="425" spans="3:12" x14ac:dyDescent="0.35">
      <c r="C425" s="9">
        <f t="array" ref="C425">_xlfn.UNIQUE(F425:F425)</f>
        <v>0</v>
      </c>
      <c r="D425" s="13" t="e">
        <f>IF(C_MEAS="Sessions",INDEX($G$26:G425,MATCH(C425,$F$26:$F425,0)),
IF(C_MEAS="Total_Item_Requests",INDEX($H$26:$H425,MATCH(C425,$F$26:$F425,0)),
IF(C_MEAS="Unique_Item_Requests",INDEX($I$26:$I425,MATCH(C425,$F$26:$F425,0)),
IF(C_MEAS="Total_Item_Investigations",INDEX($J$26:$J425,MATCH(C425,$F$26:$F425,0)),
IF(C_MEAS="Unique_Item_Investigations",INDEX($K$26:$K425,MATCH(C425,$F$26:$F425,0)),
IF(C_MEAS="User",INDEX($L$26:$L425,MATCH(C425,$F$26:$F425,0))
))))))</f>
        <v>#N/A</v>
      </c>
      <c r="F425"/>
      <c r="G425"/>
      <c r="H425"/>
      <c r="I425"/>
      <c r="J425"/>
      <c r="K425"/>
      <c r="L425"/>
    </row>
    <row r="426" spans="3:12" x14ac:dyDescent="0.35">
      <c r="C426" s="9">
        <f t="array" ref="C426">_xlfn.UNIQUE(F426:F426)</f>
        <v>0</v>
      </c>
      <c r="D426" s="13" t="e">
        <f>IF(C_MEAS="Sessions",INDEX($G$26:G426,MATCH(C426,$F$26:$F426,0)),
IF(C_MEAS="Total_Item_Requests",INDEX($H$26:$H426,MATCH(C426,$F$26:$F426,0)),
IF(C_MEAS="Unique_Item_Requests",INDEX($I$26:$I426,MATCH(C426,$F$26:$F426,0)),
IF(C_MEAS="Total_Item_Investigations",INDEX($J$26:$J426,MATCH(C426,$F$26:$F426,0)),
IF(C_MEAS="Unique_Item_Investigations",INDEX($K$26:$K426,MATCH(C426,$F$26:$F426,0)),
IF(C_MEAS="User",INDEX($L$26:$L426,MATCH(C426,$F$26:$F426,0))
))))))</f>
        <v>#N/A</v>
      </c>
      <c r="F426"/>
      <c r="G426"/>
      <c r="H426"/>
      <c r="I426"/>
      <c r="J426"/>
      <c r="K426"/>
      <c r="L426"/>
    </row>
    <row r="427" spans="3:12" x14ac:dyDescent="0.35">
      <c r="C427" s="9">
        <f t="array" ref="C427">_xlfn.UNIQUE(F427:F427)</f>
        <v>0</v>
      </c>
      <c r="D427" s="13" t="e">
        <f>IF(C_MEAS="Sessions",INDEX($G$26:G427,MATCH(C427,$F$26:$F427,0)),
IF(C_MEAS="Total_Item_Requests",INDEX($H$26:$H427,MATCH(C427,$F$26:$F427,0)),
IF(C_MEAS="Unique_Item_Requests",INDEX($I$26:$I427,MATCH(C427,$F$26:$F427,0)),
IF(C_MEAS="Total_Item_Investigations",INDEX($J$26:$J427,MATCH(C427,$F$26:$F427,0)),
IF(C_MEAS="Unique_Item_Investigations",INDEX($K$26:$K427,MATCH(C427,$F$26:$F427,0)),
IF(C_MEAS="User",INDEX($L$26:$L427,MATCH(C427,$F$26:$F427,0))
))))))</f>
        <v>#N/A</v>
      </c>
      <c r="F427"/>
      <c r="G427"/>
      <c r="H427"/>
      <c r="I427"/>
      <c r="J427"/>
      <c r="K427"/>
      <c r="L427"/>
    </row>
    <row r="428" spans="3:12" x14ac:dyDescent="0.35">
      <c r="C428" s="9">
        <f t="array" ref="C428">_xlfn.UNIQUE(F428:F428)</f>
        <v>0</v>
      </c>
      <c r="D428" s="13" t="e">
        <f>IF(C_MEAS="Sessions",INDEX($G$26:G428,MATCH(C428,$F$26:$F428,0)),
IF(C_MEAS="Total_Item_Requests",INDEX($H$26:$H428,MATCH(C428,$F$26:$F428,0)),
IF(C_MEAS="Unique_Item_Requests",INDEX($I$26:$I428,MATCH(C428,$F$26:$F428,0)),
IF(C_MEAS="Total_Item_Investigations",INDEX($J$26:$J428,MATCH(C428,$F$26:$F428,0)),
IF(C_MEAS="Unique_Item_Investigations",INDEX($K$26:$K428,MATCH(C428,$F$26:$F428,0)),
IF(C_MEAS="User",INDEX($L$26:$L428,MATCH(C428,$F$26:$F428,0))
))))))</f>
        <v>#N/A</v>
      </c>
      <c r="F428"/>
      <c r="G428"/>
      <c r="H428"/>
      <c r="I428"/>
      <c r="J428"/>
      <c r="K428"/>
      <c r="L428"/>
    </row>
    <row r="429" spans="3:12" x14ac:dyDescent="0.35">
      <c r="F429"/>
      <c r="G429"/>
      <c r="H429"/>
      <c r="I429"/>
      <c r="J429"/>
      <c r="K429"/>
      <c r="L429"/>
    </row>
    <row r="430" spans="3:12" x14ac:dyDescent="0.35">
      <c r="F430"/>
      <c r="G430"/>
      <c r="H430"/>
      <c r="I430"/>
      <c r="J430"/>
      <c r="K430"/>
      <c r="L430"/>
    </row>
    <row r="431" spans="3:12" x14ac:dyDescent="0.35">
      <c r="F431"/>
      <c r="G431"/>
      <c r="H431"/>
      <c r="I431"/>
      <c r="J431"/>
      <c r="K431"/>
      <c r="L431"/>
    </row>
    <row r="432" spans="3:12" x14ac:dyDescent="0.35">
      <c r="F432"/>
      <c r="G432"/>
      <c r="H432"/>
      <c r="I432"/>
      <c r="J432"/>
      <c r="K432"/>
      <c r="L432"/>
    </row>
    <row r="433" spans="6:12" x14ac:dyDescent="0.35">
      <c r="F433"/>
      <c r="G433"/>
      <c r="H433"/>
      <c r="I433"/>
      <c r="J433"/>
      <c r="K433"/>
      <c r="L433"/>
    </row>
    <row r="434" spans="6:12" x14ac:dyDescent="0.35">
      <c r="F434"/>
      <c r="G434"/>
      <c r="H434"/>
      <c r="I434"/>
      <c r="J434"/>
      <c r="K434"/>
      <c r="L434"/>
    </row>
    <row r="435" spans="6:12" x14ac:dyDescent="0.35">
      <c r="F435"/>
      <c r="G435"/>
      <c r="H435"/>
      <c r="I435"/>
      <c r="J435"/>
      <c r="K435"/>
      <c r="L435"/>
    </row>
    <row r="436" spans="6:12" x14ac:dyDescent="0.35">
      <c r="F436"/>
      <c r="G436"/>
      <c r="H436"/>
      <c r="I436"/>
      <c r="J436"/>
      <c r="K436"/>
      <c r="L436"/>
    </row>
    <row r="437" spans="6:12" x14ac:dyDescent="0.35">
      <c r="F437"/>
      <c r="G437"/>
      <c r="H437"/>
      <c r="I437"/>
      <c r="J437"/>
      <c r="K437"/>
      <c r="L437"/>
    </row>
    <row r="438" spans="6:12" x14ac:dyDescent="0.35">
      <c r="F438"/>
      <c r="G438"/>
      <c r="H438"/>
      <c r="I438"/>
      <c r="J438"/>
      <c r="K438"/>
      <c r="L438"/>
    </row>
    <row r="439" spans="6:12" x14ac:dyDescent="0.35">
      <c r="F439"/>
      <c r="G439"/>
      <c r="H439"/>
      <c r="I439"/>
      <c r="J439"/>
      <c r="K439"/>
      <c r="L439"/>
    </row>
    <row r="440" spans="6:12" x14ac:dyDescent="0.35">
      <c r="F440"/>
      <c r="G440"/>
      <c r="H440"/>
      <c r="I440"/>
      <c r="J440"/>
      <c r="K440"/>
      <c r="L440"/>
    </row>
    <row r="441" spans="6:12" x14ac:dyDescent="0.35">
      <c r="F441"/>
      <c r="G441"/>
      <c r="H441"/>
      <c r="I441"/>
      <c r="J441"/>
      <c r="K441"/>
      <c r="L441"/>
    </row>
    <row r="442" spans="6:12" x14ac:dyDescent="0.35">
      <c r="F442"/>
      <c r="G442"/>
      <c r="H442"/>
      <c r="I442"/>
      <c r="J442"/>
      <c r="K442"/>
      <c r="L442"/>
    </row>
    <row r="443" spans="6:12" x14ac:dyDescent="0.35">
      <c r="F443"/>
      <c r="G443"/>
      <c r="H443"/>
      <c r="I443"/>
      <c r="J443"/>
      <c r="K443"/>
      <c r="L443"/>
    </row>
    <row r="444" spans="6:12" x14ac:dyDescent="0.35">
      <c r="F444"/>
      <c r="G444"/>
      <c r="H444"/>
      <c r="I444"/>
      <c r="J444"/>
      <c r="K444"/>
      <c r="L444"/>
    </row>
    <row r="445" spans="6:12" x14ac:dyDescent="0.35">
      <c r="F445"/>
      <c r="G445"/>
      <c r="H445"/>
      <c r="I445"/>
      <c r="J445"/>
      <c r="K445"/>
      <c r="L445"/>
    </row>
    <row r="446" spans="6:12" x14ac:dyDescent="0.35">
      <c r="F446"/>
      <c r="G446"/>
      <c r="H446"/>
      <c r="I446"/>
      <c r="J446"/>
      <c r="K446"/>
      <c r="L446"/>
    </row>
    <row r="447" spans="6:12" x14ac:dyDescent="0.35">
      <c r="F447"/>
      <c r="G447"/>
      <c r="H447"/>
      <c r="I447"/>
      <c r="J447"/>
      <c r="K447"/>
      <c r="L447"/>
    </row>
    <row r="448" spans="6:12" x14ac:dyDescent="0.35">
      <c r="F448"/>
      <c r="G448"/>
      <c r="H448"/>
      <c r="I448"/>
      <c r="J448"/>
      <c r="K448"/>
      <c r="L448"/>
    </row>
    <row r="449" spans="6:12" x14ac:dyDescent="0.35">
      <c r="F449"/>
      <c r="G449"/>
      <c r="H449"/>
      <c r="I449"/>
      <c r="J449"/>
      <c r="K449"/>
      <c r="L449"/>
    </row>
    <row r="450" spans="6:12" x14ac:dyDescent="0.35">
      <c r="F450"/>
      <c r="G450"/>
      <c r="H450"/>
      <c r="I450"/>
      <c r="J450"/>
      <c r="K450"/>
      <c r="L450"/>
    </row>
    <row r="451" spans="6:12" x14ac:dyDescent="0.35">
      <c r="F451"/>
      <c r="G451"/>
      <c r="H451"/>
      <c r="I451"/>
      <c r="J451"/>
      <c r="K451"/>
      <c r="L451"/>
    </row>
    <row r="452" spans="6:12" x14ac:dyDescent="0.35">
      <c r="F452"/>
      <c r="G452"/>
      <c r="H452"/>
      <c r="I452"/>
      <c r="J452"/>
      <c r="K452"/>
      <c r="L452"/>
    </row>
    <row r="453" spans="6:12" x14ac:dyDescent="0.35">
      <c r="F453"/>
      <c r="G453"/>
      <c r="H453"/>
      <c r="I453"/>
      <c r="J453"/>
      <c r="K453"/>
      <c r="L453"/>
    </row>
    <row r="454" spans="6:12" x14ac:dyDescent="0.35">
      <c r="F454"/>
      <c r="G454"/>
      <c r="H454"/>
      <c r="I454"/>
      <c r="J454"/>
      <c r="K454"/>
      <c r="L454"/>
    </row>
    <row r="455" spans="6:12" x14ac:dyDescent="0.35">
      <c r="F455"/>
      <c r="G455"/>
      <c r="H455"/>
      <c r="I455"/>
      <c r="J455"/>
      <c r="K455"/>
      <c r="L455"/>
    </row>
    <row r="456" spans="6:12" x14ac:dyDescent="0.35">
      <c r="F456"/>
      <c r="G456"/>
      <c r="H456"/>
      <c r="I456"/>
      <c r="J456"/>
      <c r="K456"/>
      <c r="L456"/>
    </row>
    <row r="457" spans="6:12" x14ac:dyDescent="0.35">
      <c r="F457"/>
      <c r="G457"/>
      <c r="H457"/>
      <c r="I457"/>
      <c r="J457"/>
      <c r="K457"/>
      <c r="L457"/>
    </row>
    <row r="458" spans="6:12" x14ac:dyDescent="0.35">
      <c r="F458"/>
      <c r="G458"/>
      <c r="H458"/>
      <c r="I458"/>
      <c r="J458"/>
      <c r="K458"/>
      <c r="L458"/>
    </row>
    <row r="459" spans="6:12" x14ac:dyDescent="0.35">
      <c r="F459"/>
      <c r="G459"/>
      <c r="H459"/>
      <c r="I459"/>
      <c r="J459"/>
      <c r="K459"/>
      <c r="L459"/>
    </row>
    <row r="460" spans="6:12" x14ac:dyDescent="0.35">
      <c r="F460"/>
      <c r="G460"/>
      <c r="H460"/>
      <c r="I460"/>
      <c r="J460"/>
      <c r="K460"/>
      <c r="L460"/>
    </row>
    <row r="461" spans="6:12" x14ac:dyDescent="0.35">
      <c r="F461"/>
      <c r="G461"/>
      <c r="H461"/>
      <c r="I461"/>
      <c r="J461"/>
      <c r="K461"/>
      <c r="L461"/>
    </row>
    <row r="462" spans="6:12" x14ac:dyDescent="0.35">
      <c r="F462"/>
      <c r="G462"/>
      <c r="H462"/>
      <c r="I462"/>
      <c r="J462"/>
      <c r="K462"/>
      <c r="L462"/>
    </row>
    <row r="463" spans="6:12" x14ac:dyDescent="0.35">
      <c r="F463"/>
      <c r="G463"/>
      <c r="H463"/>
      <c r="I463"/>
      <c r="J463"/>
      <c r="K463"/>
      <c r="L463"/>
    </row>
    <row r="464" spans="6:12" x14ac:dyDescent="0.35">
      <c r="F464"/>
      <c r="G464"/>
      <c r="H464"/>
      <c r="I464"/>
      <c r="J464"/>
      <c r="K464"/>
      <c r="L464"/>
    </row>
    <row r="465" spans="6:12" x14ac:dyDescent="0.35">
      <c r="F465"/>
      <c r="G465"/>
      <c r="H465"/>
      <c r="I465"/>
      <c r="J465"/>
      <c r="K465"/>
      <c r="L465"/>
    </row>
    <row r="466" spans="6:12" x14ac:dyDescent="0.35">
      <c r="F466"/>
      <c r="G466"/>
      <c r="H466"/>
      <c r="I466"/>
      <c r="J466"/>
      <c r="K466"/>
      <c r="L466"/>
    </row>
    <row r="467" spans="6:12" x14ac:dyDescent="0.35">
      <c r="F467"/>
      <c r="G467"/>
      <c r="H467"/>
      <c r="I467"/>
      <c r="J467"/>
      <c r="K467"/>
      <c r="L467"/>
    </row>
    <row r="468" spans="6:12" x14ac:dyDescent="0.35">
      <c r="F468"/>
      <c r="G468"/>
      <c r="H468"/>
      <c r="I468"/>
      <c r="J468"/>
      <c r="K468"/>
      <c r="L468"/>
    </row>
    <row r="469" spans="6:12" x14ac:dyDescent="0.35">
      <c r="F469"/>
      <c r="G469"/>
      <c r="H469"/>
      <c r="I469"/>
      <c r="J469"/>
      <c r="K469"/>
      <c r="L469"/>
    </row>
    <row r="470" spans="6:12" x14ac:dyDescent="0.35">
      <c r="F470"/>
      <c r="G470"/>
      <c r="H470"/>
      <c r="I470"/>
      <c r="J470"/>
      <c r="K470"/>
      <c r="L470"/>
    </row>
    <row r="471" spans="6:12" x14ac:dyDescent="0.35">
      <c r="F471"/>
      <c r="G471"/>
      <c r="H471"/>
      <c r="I471"/>
      <c r="J471"/>
      <c r="K471"/>
      <c r="L471"/>
    </row>
    <row r="472" spans="6:12" x14ac:dyDescent="0.35">
      <c r="F472"/>
      <c r="G472"/>
      <c r="H472"/>
      <c r="I472"/>
      <c r="J472"/>
      <c r="K472"/>
      <c r="L472"/>
    </row>
    <row r="473" spans="6:12" x14ac:dyDescent="0.35">
      <c r="F473"/>
      <c r="G473"/>
      <c r="H473"/>
      <c r="I473"/>
      <c r="J473"/>
      <c r="K473"/>
      <c r="L473"/>
    </row>
    <row r="474" spans="6:12" x14ac:dyDescent="0.35">
      <c r="F474"/>
      <c r="G474"/>
      <c r="H474"/>
      <c r="I474"/>
      <c r="J474"/>
      <c r="K474"/>
      <c r="L474"/>
    </row>
    <row r="475" spans="6:12" x14ac:dyDescent="0.35">
      <c r="F475"/>
      <c r="G475"/>
      <c r="H475"/>
      <c r="I475"/>
      <c r="J475"/>
      <c r="K475"/>
      <c r="L475"/>
    </row>
    <row r="476" spans="6:12" x14ac:dyDescent="0.35">
      <c r="F476"/>
      <c r="G476"/>
      <c r="H476"/>
      <c r="I476"/>
      <c r="J476"/>
      <c r="K476"/>
      <c r="L476"/>
    </row>
    <row r="477" spans="6:12" x14ac:dyDescent="0.35">
      <c r="F477"/>
      <c r="G477"/>
      <c r="H477"/>
      <c r="I477"/>
      <c r="J477"/>
      <c r="K477"/>
      <c r="L477"/>
    </row>
    <row r="478" spans="6:12" x14ac:dyDescent="0.35">
      <c r="F478"/>
      <c r="G478"/>
      <c r="H478"/>
      <c r="I478"/>
      <c r="J478"/>
      <c r="K478"/>
      <c r="L478"/>
    </row>
    <row r="479" spans="6:12" x14ac:dyDescent="0.35">
      <c r="F479"/>
      <c r="G479"/>
      <c r="H479"/>
      <c r="I479"/>
      <c r="J479"/>
      <c r="K479"/>
      <c r="L479"/>
    </row>
    <row r="480" spans="6:12" x14ac:dyDescent="0.35">
      <c r="F480"/>
      <c r="G480"/>
      <c r="H480"/>
      <c r="I480"/>
      <c r="J480"/>
      <c r="K480"/>
      <c r="L480"/>
    </row>
    <row r="481" spans="6:12" x14ac:dyDescent="0.35">
      <c r="F481"/>
      <c r="G481"/>
      <c r="H481"/>
      <c r="I481"/>
      <c r="J481"/>
      <c r="K481"/>
      <c r="L481"/>
    </row>
    <row r="482" spans="6:12" x14ac:dyDescent="0.35">
      <c r="F482"/>
      <c r="G482"/>
      <c r="H482"/>
      <c r="I482"/>
      <c r="J482"/>
      <c r="K482"/>
      <c r="L482"/>
    </row>
    <row r="483" spans="6:12" x14ac:dyDescent="0.35">
      <c r="F483"/>
      <c r="G483"/>
      <c r="H483"/>
      <c r="I483"/>
      <c r="J483"/>
      <c r="K483"/>
      <c r="L483"/>
    </row>
    <row r="484" spans="6:12" x14ac:dyDescent="0.35">
      <c r="F484"/>
      <c r="G484"/>
      <c r="H484"/>
      <c r="I484"/>
      <c r="J484"/>
      <c r="K484"/>
      <c r="L484"/>
    </row>
    <row r="485" spans="6:12" x14ac:dyDescent="0.35">
      <c r="F485"/>
      <c r="G485"/>
      <c r="H485"/>
      <c r="I485"/>
      <c r="J485"/>
      <c r="K485"/>
      <c r="L485"/>
    </row>
    <row r="486" spans="6:12" x14ac:dyDescent="0.35">
      <c r="F486"/>
      <c r="G486"/>
      <c r="H486"/>
      <c r="I486"/>
      <c r="J486"/>
      <c r="K486"/>
      <c r="L486"/>
    </row>
    <row r="487" spans="6:12" x14ac:dyDescent="0.35">
      <c r="F487"/>
      <c r="G487"/>
      <c r="H487"/>
      <c r="I487"/>
      <c r="J487"/>
      <c r="K487"/>
      <c r="L487"/>
    </row>
    <row r="488" spans="6:12" x14ac:dyDescent="0.35">
      <c r="F488"/>
      <c r="G488"/>
      <c r="H488"/>
      <c r="I488"/>
      <c r="J488"/>
      <c r="K488"/>
      <c r="L488"/>
    </row>
    <row r="489" spans="6:12" x14ac:dyDescent="0.35">
      <c r="F489"/>
      <c r="G489"/>
      <c r="H489"/>
      <c r="I489"/>
      <c r="J489"/>
      <c r="K489"/>
      <c r="L489"/>
    </row>
    <row r="490" spans="6:12" x14ac:dyDescent="0.35">
      <c r="F490"/>
      <c r="G490"/>
      <c r="H490"/>
      <c r="I490"/>
      <c r="J490"/>
      <c r="K490"/>
      <c r="L490"/>
    </row>
    <row r="491" spans="6:12" x14ac:dyDescent="0.35">
      <c r="F491"/>
      <c r="G491"/>
      <c r="H491"/>
      <c r="I491"/>
      <c r="J491"/>
      <c r="K491"/>
      <c r="L491"/>
    </row>
    <row r="492" spans="6:12" x14ac:dyDescent="0.35">
      <c r="F492"/>
      <c r="G492"/>
      <c r="H492"/>
      <c r="I492"/>
      <c r="J492"/>
      <c r="K492"/>
      <c r="L492"/>
    </row>
    <row r="493" spans="6:12" x14ac:dyDescent="0.35">
      <c r="F493"/>
      <c r="G493"/>
      <c r="H493"/>
      <c r="I493"/>
      <c r="J493"/>
      <c r="K493"/>
      <c r="L493"/>
    </row>
    <row r="494" spans="6:12" x14ac:dyDescent="0.35">
      <c r="F494"/>
      <c r="G494"/>
      <c r="H494"/>
      <c r="I494"/>
      <c r="J494"/>
      <c r="K494"/>
      <c r="L494"/>
    </row>
    <row r="495" spans="6:12" x14ac:dyDescent="0.35">
      <c r="F495"/>
      <c r="G495"/>
      <c r="H495"/>
      <c r="I495"/>
      <c r="J495"/>
      <c r="K495"/>
      <c r="L495"/>
    </row>
    <row r="496" spans="6:12" x14ac:dyDescent="0.35">
      <c r="F496"/>
      <c r="G496"/>
      <c r="H496"/>
      <c r="I496"/>
      <c r="J496"/>
      <c r="K496"/>
      <c r="L496"/>
    </row>
    <row r="497" spans="6:12" x14ac:dyDescent="0.35">
      <c r="F497"/>
      <c r="G497"/>
      <c r="H497"/>
      <c r="I497"/>
      <c r="J497"/>
      <c r="K497"/>
      <c r="L497"/>
    </row>
    <row r="498" spans="6:12" x14ac:dyDescent="0.35">
      <c r="F498"/>
      <c r="G498"/>
      <c r="H498"/>
      <c r="I498"/>
      <c r="J498"/>
      <c r="K498"/>
      <c r="L498"/>
    </row>
    <row r="499" spans="6:12" x14ac:dyDescent="0.35">
      <c r="F499"/>
      <c r="G499"/>
      <c r="H499"/>
      <c r="I499"/>
      <c r="J499"/>
      <c r="K499"/>
      <c r="L499"/>
    </row>
    <row r="500" spans="6:12" x14ac:dyDescent="0.35">
      <c r="F500"/>
      <c r="G500"/>
      <c r="H500"/>
      <c r="I500"/>
      <c r="J500"/>
      <c r="K500"/>
      <c r="L500"/>
    </row>
    <row r="501" spans="6:12" x14ac:dyDescent="0.35">
      <c r="F501"/>
      <c r="G501"/>
      <c r="H501"/>
      <c r="I501"/>
      <c r="J501"/>
      <c r="K501"/>
      <c r="L501"/>
    </row>
    <row r="502" spans="6:12" x14ac:dyDescent="0.35">
      <c r="F502"/>
      <c r="G502"/>
      <c r="H502"/>
      <c r="I502"/>
      <c r="J502"/>
      <c r="K502"/>
      <c r="L502"/>
    </row>
    <row r="503" spans="6:12" x14ac:dyDescent="0.35">
      <c r="F503"/>
      <c r="G503"/>
      <c r="H503"/>
      <c r="I503"/>
      <c r="J503"/>
      <c r="K503"/>
      <c r="L503"/>
    </row>
    <row r="504" spans="6:12" x14ac:dyDescent="0.35">
      <c r="F504"/>
      <c r="G504"/>
      <c r="H504"/>
      <c r="I504"/>
      <c r="J504"/>
      <c r="K504"/>
      <c r="L504"/>
    </row>
    <row r="505" spans="6:12" x14ac:dyDescent="0.35">
      <c r="F505"/>
      <c r="G505"/>
      <c r="H505"/>
      <c r="I505"/>
      <c r="J505"/>
      <c r="K505"/>
      <c r="L505"/>
    </row>
    <row r="506" spans="6:12" x14ac:dyDescent="0.35">
      <c r="F506"/>
      <c r="G506"/>
      <c r="H506"/>
      <c r="I506"/>
      <c r="J506"/>
      <c r="K506"/>
      <c r="L506"/>
    </row>
    <row r="507" spans="6:12" x14ac:dyDescent="0.35">
      <c r="F507"/>
      <c r="G507"/>
      <c r="H507"/>
      <c r="I507"/>
      <c r="J507"/>
      <c r="K507"/>
      <c r="L507"/>
    </row>
    <row r="508" spans="6:12" x14ac:dyDescent="0.35">
      <c r="F508"/>
      <c r="G508"/>
      <c r="H508"/>
      <c r="I508"/>
      <c r="J508"/>
      <c r="K508"/>
      <c r="L508"/>
    </row>
    <row r="509" spans="6:12" x14ac:dyDescent="0.35">
      <c r="F509"/>
      <c r="G509"/>
      <c r="H509"/>
      <c r="I509"/>
      <c r="J509"/>
      <c r="K509"/>
      <c r="L509"/>
    </row>
    <row r="510" spans="6:12" x14ac:dyDescent="0.35">
      <c r="F510"/>
      <c r="G510"/>
      <c r="H510"/>
      <c r="I510"/>
      <c r="J510"/>
      <c r="K510"/>
      <c r="L510"/>
    </row>
    <row r="511" spans="6:12" x14ac:dyDescent="0.35">
      <c r="F511"/>
      <c r="G511"/>
      <c r="H511"/>
      <c r="I511"/>
      <c r="J511"/>
      <c r="K511"/>
      <c r="L511"/>
    </row>
    <row r="512" spans="6:12" x14ac:dyDescent="0.35">
      <c r="F512"/>
      <c r="G512"/>
      <c r="H512"/>
      <c r="I512"/>
      <c r="J512"/>
      <c r="K512"/>
      <c r="L512"/>
    </row>
    <row r="513" spans="6:12" x14ac:dyDescent="0.35">
      <c r="F513"/>
      <c r="G513"/>
      <c r="H513"/>
      <c r="I513"/>
      <c r="J513"/>
      <c r="K513"/>
      <c r="L513"/>
    </row>
    <row r="514" spans="6:12" x14ac:dyDescent="0.35">
      <c r="F514"/>
      <c r="G514"/>
      <c r="H514"/>
      <c r="I514"/>
      <c r="J514"/>
      <c r="K514"/>
      <c r="L514"/>
    </row>
    <row r="515" spans="6:12" x14ac:dyDescent="0.35">
      <c r="F515"/>
      <c r="G515"/>
      <c r="H515"/>
      <c r="I515"/>
      <c r="J515"/>
      <c r="K515"/>
      <c r="L515"/>
    </row>
    <row r="516" spans="6:12" x14ac:dyDescent="0.35">
      <c r="F516"/>
      <c r="G516"/>
      <c r="H516"/>
      <c r="I516"/>
      <c r="J516"/>
      <c r="K516"/>
      <c r="L516"/>
    </row>
    <row r="517" spans="6:12" x14ac:dyDescent="0.35">
      <c r="F517"/>
      <c r="G517"/>
      <c r="H517"/>
      <c r="I517"/>
      <c r="J517"/>
      <c r="K517"/>
      <c r="L517"/>
    </row>
    <row r="518" spans="6:12" x14ac:dyDescent="0.35">
      <c r="F518"/>
      <c r="G518"/>
      <c r="H518"/>
      <c r="I518"/>
      <c r="J518"/>
      <c r="K518"/>
      <c r="L518"/>
    </row>
    <row r="519" spans="6:12" x14ac:dyDescent="0.35">
      <c r="F519"/>
      <c r="G519"/>
      <c r="H519"/>
      <c r="I519"/>
      <c r="J519"/>
      <c r="K519"/>
      <c r="L519"/>
    </row>
    <row r="520" spans="6:12" x14ac:dyDescent="0.35">
      <c r="F520"/>
      <c r="G520"/>
      <c r="H520"/>
      <c r="I520"/>
      <c r="J520"/>
      <c r="K520"/>
      <c r="L520"/>
    </row>
    <row r="521" spans="6:12" x14ac:dyDescent="0.35">
      <c r="F521"/>
      <c r="G521"/>
      <c r="H521"/>
      <c r="I521"/>
      <c r="J521"/>
      <c r="K521"/>
      <c r="L521"/>
    </row>
    <row r="522" spans="6:12" x14ac:dyDescent="0.35">
      <c r="F522"/>
      <c r="G522"/>
      <c r="H522"/>
      <c r="I522"/>
      <c r="J522"/>
      <c r="K522"/>
      <c r="L522"/>
    </row>
    <row r="523" spans="6:12" x14ac:dyDescent="0.35">
      <c r="F523"/>
      <c r="G523"/>
      <c r="H523"/>
      <c r="I523"/>
      <c r="J523"/>
      <c r="K523"/>
      <c r="L523"/>
    </row>
    <row r="524" spans="6:12" x14ac:dyDescent="0.35">
      <c r="F524"/>
      <c r="G524"/>
      <c r="H524"/>
      <c r="I524"/>
      <c r="J524"/>
      <c r="K524"/>
      <c r="L524"/>
    </row>
    <row r="525" spans="6:12" x14ac:dyDescent="0.35">
      <c r="F525"/>
      <c r="G525"/>
      <c r="H525"/>
      <c r="I525"/>
      <c r="J525"/>
      <c r="K525"/>
      <c r="L525"/>
    </row>
    <row r="526" spans="6:12" x14ac:dyDescent="0.35">
      <c r="F526"/>
      <c r="G526"/>
      <c r="H526"/>
      <c r="I526"/>
      <c r="J526"/>
      <c r="K526"/>
      <c r="L526"/>
    </row>
    <row r="527" spans="6:12" x14ac:dyDescent="0.35">
      <c r="F527"/>
      <c r="G527"/>
      <c r="H527"/>
      <c r="I527"/>
      <c r="J527"/>
      <c r="K527"/>
      <c r="L527"/>
    </row>
    <row r="528" spans="6:12" x14ac:dyDescent="0.35">
      <c r="F528"/>
      <c r="G528"/>
      <c r="H528"/>
      <c r="I528"/>
      <c r="J528"/>
      <c r="K528"/>
      <c r="L528"/>
    </row>
    <row r="529" spans="6:12" x14ac:dyDescent="0.35">
      <c r="F529"/>
      <c r="G529"/>
      <c r="H529"/>
      <c r="I529"/>
      <c r="J529"/>
      <c r="K529"/>
      <c r="L529"/>
    </row>
    <row r="530" spans="6:12" x14ac:dyDescent="0.35">
      <c r="F530"/>
      <c r="G530"/>
      <c r="H530"/>
      <c r="I530"/>
      <c r="J530"/>
      <c r="K530"/>
      <c r="L530"/>
    </row>
    <row r="531" spans="6:12" x14ac:dyDescent="0.35">
      <c r="F531"/>
      <c r="G531"/>
      <c r="H531"/>
      <c r="I531"/>
      <c r="J531"/>
      <c r="K531"/>
      <c r="L531"/>
    </row>
    <row r="532" spans="6:12" x14ac:dyDescent="0.35">
      <c r="F532"/>
      <c r="G532"/>
      <c r="H532"/>
      <c r="I532"/>
      <c r="J532"/>
      <c r="K532"/>
      <c r="L532"/>
    </row>
    <row r="533" spans="6:12" x14ac:dyDescent="0.35">
      <c r="F533"/>
      <c r="G533"/>
      <c r="H533"/>
      <c r="I533"/>
      <c r="J533"/>
      <c r="K533"/>
      <c r="L533"/>
    </row>
    <row r="534" spans="6:12" x14ac:dyDescent="0.35">
      <c r="F534"/>
      <c r="G534"/>
      <c r="H534"/>
      <c r="I534"/>
      <c r="J534"/>
      <c r="K534"/>
      <c r="L534"/>
    </row>
    <row r="535" spans="6:12" x14ac:dyDescent="0.35">
      <c r="F535"/>
      <c r="G535"/>
      <c r="H535"/>
      <c r="I535"/>
      <c r="J535"/>
      <c r="K535"/>
      <c r="L535"/>
    </row>
    <row r="536" spans="6:12" x14ac:dyDescent="0.35">
      <c r="F536"/>
      <c r="G536"/>
      <c r="H536"/>
      <c r="I536"/>
      <c r="J536"/>
      <c r="K536"/>
      <c r="L536"/>
    </row>
    <row r="537" spans="6:12" x14ac:dyDescent="0.35">
      <c r="F537"/>
      <c r="G537"/>
      <c r="H537"/>
      <c r="I537"/>
      <c r="J537"/>
      <c r="K537"/>
      <c r="L537"/>
    </row>
    <row r="538" spans="6:12" x14ac:dyDescent="0.35">
      <c r="F538"/>
      <c r="G538"/>
      <c r="H538"/>
      <c r="I538"/>
      <c r="J538"/>
      <c r="K538"/>
      <c r="L538"/>
    </row>
    <row r="539" spans="6:12" x14ac:dyDescent="0.35">
      <c r="F539"/>
      <c r="G539"/>
      <c r="H539"/>
      <c r="I539"/>
      <c r="J539"/>
      <c r="K539"/>
      <c r="L539"/>
    </row>
    <row r="540" spans="6:12" x14ac:dyDescent="0.35">
      <c r="F540"/>
      <c r="G540"/>
      <c r="H540"/>
      <c r="I540"/>
      <c r="J540"/>
      <c r="K540"/>
      <c r="L540"/>
    </row>
    <row r="541" spans="6:12" x14ac:dyDescent="0.35">
      <c r="F541"/>
      <c r="G541"/>
      <c r="H541"/>
      <c r="I541"/>
      <c r="J541"/>
      <c r="K541"/>
      <c r="L541"/>
    </row>
    <row r="542" spans="6:12" x14ac:dyDescent="0.35">
      <c r="F542"/>
      <c r="G542"/>
      <c r="H542"/>
      <c r="I542"/>
      <c r="J542"/>
      <c r="K542"/>
      <c r="L542"/>
    </row>
    <row r="543" spans="6:12" x14ac:dyDescent="0.35">
      <c r="F543"/>
      <c r="G543"/>
      <c r="H543"/>
      <c r="I543"/>
      <c r="J543"/>
      <c r="K543"/>
      <c r="L543"/>
    </row>
    <row r="544" spans="6:12" x14ac:dyDescent="0.35">
      <c r="F544"/>
      <c r="G544"/>
      <c r="H544"/>
      <c r="I544"/>
      <c r="J544"/>
      <c r="K544"/>
      <c r="L544"/>
    </row>
    <row r="545" spans="6:12" x14ac:dyDescent="0.35">
      <c r="F545"/>
      <c r="G545"/>
      <c r="H545"/>
      <c r="I545"/>
      <c r="J545"/>
      <c r="K545"/>
      <c r="L545"/>
    </row>
    <row r="546" spans="6:12" x14ac:dyDescent="0.35">
      <c r="F546"/>
      <c r="G546"/>
      <c r="H546"/>
      <c r="I546"/>
      <c r="J546"/>
      <c r="K546"/>
      <c r="L546"/>
    </row>
    <row r="547" spans="6:12" x14ac:dyDescent="0.35">
      <c r="F547"/>
      <c r="G547"/>
      <c r="H547"/>
      <c r="I547"/>
      <c r="J547"/>
      <c r="K547"/>
      <c r="L547"/>
    </row>
    <row r="548" spans="6:12" x14ac:dyDescent="0.35">
      <c r="F548"/>
      <c r="G548"/>
      <c r="H548"/>
      <c r="I548"/>
      <c r="J548"/>
      <c r="K548"/>
      <c r="L548"/>
    </row>
    <row r="549" spans="6:12" x14ac:dyDescent="0.35">
      <c r="F549"/>
      <c r="G549"/>
      <c r="H549"/>
      <c r="I549"/>
      <c r="J549"/>
      <c r="K549"/>
      <c r="L549"/>
    </row>
    <row r="550" spans="6:12" x14ac:dyDescent="0.35">
      <c r="F550"/>
      <c r="G550"/>
      <c r="H550"/>
      <c r="I550"/>
      <c r="J550"/>
      <c r="K550"/>
      <c r="L550"/>
    </row>
    <row r="551" spans="6:12" x14ac:dyDescent="0.35">
      <c r="F551"/>
      <c r="G551"/>
      <c r="H551"/>
      <c r="I551"/>
      <c r="J551"/>
      <c r="K551"/>
      <c r="L551"/>
    </row>
    <row r="552" spans="6:12" x14ac:dyDescent="0.35">
      <c r="F552"/>
      <c r="G552"/>
      <c r="H552"/>
      <c r="I552"/>
      <c r="J552"/>
      <c r="K552"/>
      <c r="L552"/>
    </row>
    <row r="553" spans="6:12" x14ac:dyDescent="0.35">
      <c r="F553"/>
      <c r="G553"/>
      <c r="H553"/>
      <c r="I553"/>
      <c r="J553"/>
      <c r="K553"/>
      <c r="L553"/>
    </row>
    <row r="554" spans="6:12" x14ac:dyDescent="0.35">
      <c r="F554"/>
      <c r="G554"/>
      <c r="H554"/>
      <c r="I554"/>
      <c r="J554"/>
      <c r="K554"/>
      <c r="L554"/>
    </row>
  </sheetData>
  <pageMargins left="0.7" right="0.7" top="0.75" bottom="0.75" header="0.3" footer="0.3"/>
  <drawing r:id="rId11"/>
  <tableParts count="5">
    <tablePart r:id="rId12"/>
    <tablePart r:id="rId13"/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B1652"/>
  <sheetViews>
    <sheetView showGridLines="0" tabSelected="1" topLeftCell="A10" zoomScale="80" zoomScaleNormal="80" workbookViewId="0">
      <selection activeCell="B19" sqref="B19"/>
    </sheetView>
  </sheetViews>
  <sheetFormatPr defaultColWidth="0" defaultRowHeight="14.5" zeroHeight="1" x14ac:dyDescent="0.35"/>
  <cols>
    <col min="1" max="1" width="8.7265625" style="6" customWidth="1"/>
    <col min="2" max="2" width="49.90625" style="5" bestFit="1" customWidth="1"/>
    <col min="3" max="3" width="35.7265625" style="73" bestFit="1" customWidth="1"/>
    <col min="4" max="4" width="30.6328125" style="5" bestFit="1" customWidth="1"/>
    <col min="5" max="5" width="11" style="5" bestFit="1" customWidth="1"/>
    <col min="6" max="6" width="8.7265625" style="5" customWidth="1"/>
    <col min="7" max="14" width="8.7265625" style="75" customWidth="1"/>
    <col min="15" max="22" width="8.7265625" style="5" customWidth="1"/>
    <col min="23" max="23" width="8.7265625" style="6" customWidth="1"/>
    <col min="24" max="24" width="4.1796875" style="6" customWidth="1"/>
    <col min="25" max="28" width="8.7265625" style="6" hidden="1" customWidth="1"/>
    <col min="29" max="16384" width="8.7265625" style="6" hidden="1"/>
  </cols>
  <sheetData>
    <row r="1" spans="1:28" x14ac:dyDescent="0.35">
      <c r="B1" s="6"/>
      <c r="C1" s="62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8" s="5" customFormat="1" x14ac:dyDescent="0.35">
      <c r="A2" s="61"/>
      <c r="B2" s="61"/>
      <c r="C2" s="63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"/>
      <c r="X2" s="6"/>
      <c r="Y2" s="6"/>
      <c r="Z2" s="6"/>
      <c r="AA2" s="6"/>
      <c r="AB2" s="6"/>
    </row>
    <row r="3" spans="1:28" s="5" customFormat="1" x14ac:dyDescent="0.35">
      <c r="B3" s="59"/>
      <c r="C3" s="64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W3" s="6"/>
      <c r="X3" s="6"/>
      <c r="Y3" s="6"/>
      <c r="Z3" s="6"/>
      <c r="AA3" s="6"/>
      <c r="AB3" s="6"/>
    </row>
    <row r="4" spans="1:28" s="5" customFormat="1" ht="18.5" x14ac:dyDescent="0.45">
      <c r="B4" s="59"/>
      <c r="C4" s="64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R4" s="58"/>
      <c r="W4" s="6"/>
      <c r="X4" s="6"/>
      <c r="Y4" s="6"/>
      <c r="Z4" s="6"/>
      <c r="AA4" s="6"/>
      <c r="AB4" s="6"/>
    </row>
    <row r="5" spans="1:28" s="5" customFormat="1" ht="36" x14ac:dyDescent="0.8">
      <c r="B5" s="87" t="s">
        <v>39</v>
      </c>
      <c r="C5" s="67" t="s">
        <v>34</v>
      </c>
      <c r="D5" s="59"/>
      <c r="E5" s="59"/>
      <c r="F5" s="59"/>
      <c r="G5" s="59"/>
      <c r="H5" s="59"/>
      <c r="I5" s="68" t="s">
        <v>60</v>
      </c>
      <c r="J5" s="59"/>
      <c r="K5" s="59"/>
      <c r="L5" s="59"/>
      <c r="M5" s="59"/>
      <c r="N5" s="59"/>
      <c r="O5" s="59"/>
      <c r="P5" s="59"/>
      <c r="W5" s="6"/>
      <c r="X5" s="6"/>
      <c r="Y5" s="6"/>
      <c r="Z5" s="6"/>
      <c r="AA5" s="6"/>
      <c r="AB5" s="6"/>
    </row>
    <row r="6" spans="1:28" s="5" customFormat="1" ht="28.5" x14ac:dyDescent="0.65">
      <c r="B6" s="59"/>
      <c r="C6" s="64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S6" s="60"/>
      <c r="W6" s="6"/>
      <c r="X6" s="6"/>
      <c r="Y6" s="6"/>
      <c r="Z6" s="6"/>
      <c r="AA6" s="6"/>
      <c r="AB6" s="6"/>
    </row>
    <row r="7" spans="1:28" s="5" customFormat="1" ht="36" x14ac:dyDescent="0.8">
      <c r="B7" s="59"/>
      <c r="C7" s="67" t="s">
        <v>36</v>
      </c>
      <c r="D7" s="59"/>
      <c r="E7" s="59"/>
      <c r="F7" s="59"/>
      <c r="G7" s="59"/>
      <c r="H7" s="59"/>
      <c r="I7" s="68" t="s">
        <v>41</v>
      </c>
      <c r="J7" s="59"/>
      <c r="K7" s="59"/>
      <c r="L7" s="59"/>
      <c r="M7" s="59"/>
      <c r="N7" s="59"/>
      <c r="O7" s="59"/>
      <c r="P7" s="59"/>
      <c r="W7" s="6"/>
      <c r="X7" s="6"/>
      <c r="Y7" s="6"/>
      <c r="Z7" s="6"/>
      <c r="AA7" s="6"/>
      <c r="AB7" s="6"/>
    </row>
    <row r="8" spans="1:28" s="5" customFormat="1" x14ac:dyDescent="0.35">
      <c r="B8" s="59"/>
      <c r="C8" s="64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W8" s="6"/>
      <c r="X8" s="6"/>
      <c r="Y8" s="6"/>
      <c r="Z8" s="6"/>
      <c r="AA8" s="6"/>
      <c r="AB8" s="6"/>
    </row>
    <row r="9" spans="1:28" s="5" customFormat="1" ht="36" x14ac:dyDescent="0.8">
      <c r="B9" s="59"/>
      <c r="C9" s="67" t="s">
        <v>35</v>
      </c>
      <c r="D9" s="59"/>
      <c r="E9" s="59"/>
      <c r="F9" s="59"/>
      <c r="G9" s="59"/>
      <c r="H9" s="59"/>
      <c r="I9" s="68" t="s">
        <v>72</v>
      </c>
      <c r="J9" s="59"/>
      <c r="K9" s="59"/>
      <c r="L9" s="59"/>
      <c r="M9" s="59"/>
      <c r="N9" s="59"/>
      <c r="O9" s="59"/>
      <c r="P9" s="59"/>
      <c r="W9" s="6"/>
      <c r="X9" s="6"/>
      <c r="Y9" s="6"/>
      <c r="Z9" s="6"/>
      <c r="AA9" s="6"/>
      <c r="AB9" s="6"/>
    </row>
    <row r="10" spans="1:28" s="5" customFormat="1" x14ac:dyDescent="0.35">
      <c r="B10" s="59"/>
      <c r="C10" s="64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W10" s="6"/>
      <c r="X10" s="6"/>
      <c r="Y10" s="6"/>
      <c r="Z10" s="6"/>
      <c r="AA10" s="6"/>
      <c r="AB10" s="6"/>
    </row>
    <row r="11" spans="1:28" s="5" customFormat="1" x14ac:dyDescent="0.35">
      <c r="A11" s="61"/>
      <c r="B11" s="61"/>
      <c r="C11" s="63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"/>
      <c r="X11" s="6"/>
      <c r="Y11" s="6"/>
      <c r="Z11" s="6"/>
      <c r="AA11" s="6"/>
      <c r="AB11" s="6"/>
    </row>
    <row r="12" spans="1:28" x14ac:dyDescent="0.35">
      <c r="B12" s="6"/>
      <c r="C12" s="62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spans="1:28" x14ac:dyDescent="0.35">
      <c r="B13" s="6"/>
      <c r="C13" s="62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spans="1:28" x14ac:dyDescent="0.35">
      <c r="A14" s="5"/>
      <c r="B14" s="75"/>
      <c r="C14" s="74"/>
      <c r="D14" s="75"/>
      <c r="E14" s="75"/>
      <c r="F14" s="75"/>
    </row>
    <row r="15" spans="1:28" x14ac:dyDescent="0.35">
      <c r="A15" s="5"/>
      <c r="B15" s="75"/>
      <c r="C15" s="74"/>
      <c r="D15" s="75"/>
      <c r="E15" s="75"/>
      <c r="F15" s="75"/>
    </row>
    <row r="16" spans="1:28" ht="18.5" x14ac:dyDescent="0.45">
      <c r="A16" s="5"/>
      <c r="B16" s="82" t="s">
        <v>15</v>
      </c>
      <c r="C16" s="98" t="s">
        <v>17</v>
      </c>
      <c r="D16" s="81"/>
      <c r="E16" s="75"/>
      <c r="F16" s="75"/>
    </row>
    <row r="17" spans="1:6" ht="18.5" x14ac:dyDescent="0.45">
      <c r="A17" s="5"/>
      <c r="B17" s="82" t="s">
        <v>14</v>
      </c>
      <c r="C17" s="83" t="s">
        <v>17</v>
      </c>
      <c r="D17" s="81"/>
      <c r="E17" s="75"/>
      <c r="F17" s="75"/>
    </row>
    <row r="18" spans="1:6" ht="18.5" x14ac:dyDescent="0.45">
      <c r="A18" s="75"/>
      <c r="B18" s="81"/>
      <c r="C18" s="81"/>
      <c r="D18" s="81"/>
      <c r="E18" s="75"/>
      <c r="F18" s="75"/>
    </row>
    <row r="19" spans="1:6" ht="18.5" x14ac:dyDescent="0.45">
      <c r="A19" s="5"/>
      <c r="B19" s="79" t="s">
        <v>38</v>
      </c>
      <c r="C19" s="80" t="s">
        <v>23</v>
      </c>
      <c r="D19"/>
      <c r="E19" s="76"/>
      <c r="F19" s="75"/>
    </row>
    <row r="20" spans="1:6" x14ac:dyDescent="0.35">
      <c r="A20" s="5"/>
      <c r="B20" s="72" t="s">
        <v>44</v>
      </c>
      <c r="C20" s="71">
        <v>181</v>
      </c>
      <c r="D20"/>
      <c r="E20" s="76"/>
      <c r="F20" s="75"/>
    </row>
    <row r="21" spans="1:6" x14ac:dyDescent="0.35">
      <c r="A21" s="5"/>
      <c r="B21" s="72" t="s">
        <v>50</v>
      </c>
      <c r="C21" s="71">
        <v>59</v>
      </c>
      <c r="D21"/>
      <c r="E21" s="76"/>
      <c r="F21" s="75"/>
    </row>
    <row r="22" spans="1:6" x14ac:dyDescent="0.35">
      <c r="A22" s="5"/>
      <c r="B22" s="72" t="s">
        <v>43</v>
      </c>
      <c r="C22" s="71">
        <v>59</v>
      </c>
      <c r="D22"/>
      <c r="E22" s="76"/>
      <c r="F22" s="75"/>
    </row>
    <row r="23" spans="1:6" x14ac:dyDescent="0.35">
      <c r="A23" s="5"/>
      <c r="B23" s="72" t="s">
        <v>45</v>
      </c>
      <c r="C23" s="71">
        <v>21</v>
      </c>
      <c r="D23"/>
      <c r="E23" s="76"/>
      <c r="F23" s="75"/>
    </row>
    <row r="24" spans="1:6" x14ac:dyDescent="0.35">
      <c r="A24" s="5"/>
      <c r="B24" s="72" t="s">
        <v>47</v>
      </c>
      <c r="C24" s="71">
        <v>21</v>
      </c>
      <c r="D24"/>
      <c r="E24" s="76"/>
      <c r="F24" s="75"/>
    </row>
    <row r="25" spans="1:6" x14ac:dyDescent="0.35">
      <c r="A25" s="5"/>
      <c r="B25" s="72" t="s">
        <v>61</v>
      </c>
      <c r="C25" s="71">
        <v>7</v>
      </c>
      <c r="D25"/>
      <c r="E25" s="76"/>
      <c r="F25" s="75"/>
    </row>
    <row r="26" spans="1:6" x14ac:dyDescent="0.35">
      <c r="A26" s="5"/>
      <c r="B26" s="72" t="s">
        <v>68</v>
      </c>
      <c r="C26" s="71">
        <v>5</v>
      </c>
      <c r="D26"/>
      <c r="E26" s="76"/>
      <c r="F26" s="75"/>
    </row>
    <row r="27" spans="1:6" x14ac:dyDescent="0.35">
      <c r="A27" s="5"/>
      <c r="B27" s="72" t="s">
        <v>46</v>
      </c>
      <c r="C27" s="71">
        <v>5</v>
      </c>
      <c r="D27"/>
      <c r="E27" s="76"/>
      <c r="F27" s="75"/>
    </row>
    <row r="28" spans="1:6" x14ac:dyDescent="0.35">
      <c r="A28" s="5"/>
      <c r="B28" s="72" t="s">
        <v>56</v>
      </c>
      <c r="C28" s="71">
        <v>4</v>
      </c>
      <c r="D28"/>
      <c r="E28" s="76"/>
      <c r="F28" s="75"/>
    </row>
    <row r="29" spans="1:6" x14ac:dyDescent="0.35">
      <c r="A29" s="5"/>
      <c r="B29" s="72" t="s">
        <v>69</v>
      </c>
      <c r="C29" s="71">
        <v>4</v>
      </c>
      <c r="D29"/>
      <c r="E29" s="76"/>
      <c r="F29" s="75"/>
    </row>
    <row r="30" spans="1:6" x14ac:dyDescent="0.35">
      <c r="A30" s="5"/>
      <c r="B30" s="72" t="s">
        <v>65</v>
      </c>
      <c r="C30" s="71">
        <v>3</v>
      </c>
      <c r="D30"/>
      <c r="E30" s="76"/>
      <c r="F30" s="75"/>
    </row>
    <row r="31" spans="1:6" x14ac:dyDescent="0.35">
      <c r="A31" s="5"/>
      <c r="B31" s="72" t="s">
        <v>48</v>
      </c>
      <c r="C31" s="71">
        <v>3</v>
      </c>
      <c r="D31"/>
      <c r="E31" s="76"/>
      <c r="F31" s="75"/>
    </row>
    <row r="32" spans="1:6" x14ac:dyDescent="0.35">
      <c r="A32" s="5"/>
      <c r="B32" s="72" t="s">
        <v>59</v>
      </c>
      <c r="C32" s="71">
        <v>2</v>
      </c>
      <c r="D32"/>
      <c r="E32" s="76"/>
      <c r="F32" s="75"/>
    </row>
    <row r="33" spans="1:6" x14ac:dyDescent="0.35">
      <c r="A33" s="5"/>
      <c r="B33" s="72" t="s">
        <v>64</v>
      </c>
      <c r="C33" s="71">
        <v>2</v>
      </c>
      <c r="D33"/>
      <c r="E33" s="76"/>
      <c r="F33" s="75"/>
    </row>
    <row r="34" spans="1:6" x14ac:dyDescent="0.35">
      <c r="A34" s="5"/>
      <c r="B34" s="72" t="s">
        <v>66</v>
      </c>
      <c r="C34" s="71">
        <v>2</v>
      </c>
      <c r="D34"/>
      <c r="E34" s="76"/>
      <c r="F34" s="75"/>
    </row>
    <row r="35" spans="1:6" x14ac:dyDescent="0.35">
      <c r="A35" s="5"/>
      <c r="B35" s="72" t="s">
        <v>67</v>
      </c>
      <c r="C35" s="71">
        <v>2</v>
      </c>
      <c r="D35"/>
      <c r="E35" s="76"/>
      <c r="F35" s="75"/>
    </row>
    <row r="36" spans="1:6" x14ac:dyDescent="0.35">
      <c r="A36" s="5"/>
      <c r="B36" s="72" t="s">
        <v>54</v>
      </c>
      <c r="C36" s="71">
        <v>2</v>
      </c>
      <c r="D36"/>
      <c r="E36" s="76"/>
      <c r="F36" s="75"/>
    </row>
    <row r="37" spans="1:6" x14ac:dyDescent="0.35">
      <c r="A37" s="5"/>
      <c r="B37" s="72" t="s">
        <v>63</v>
      </c>
      <c r="C37" s="71">
        <v>2</v>
      </c>
      <c r="D37"/>
      <c r="E37" s="76"/>
      <c r="F37" s="75"/>
    </row>
    <row r="38" spans="1:6" x14ac:dyDescent="0.35">
      <c r="A38" s="5"/>
      <c r="B38" s="72" t="s">
        <v>71</v>
      </c>
      <c r="C38" s="71">
        <v>2</v>
      </c>
      <c r="D38"/>
      <c r="E38" s="76"/>
      <c r="F38" s="75"/>
    </row>
    <row r="39" spans="1:6" x14ac:dyDescent="0.35">
      <c r="A39" s="5"/>
      <c r="B39" s="72" t="s">
        <v>58</v>
      </c>
      <c r="C39" s="71">
        <v>2</v>
      </c>
      <c r="D39"/>
      <c r="E39" s="76"/>
      <c r="F39" s="75"/>
    </row>
    <row r="40" spans="1:6" x14ac:dyDescent="0.35">
      <c r="A40" s="5"/>
      <c r="B40" s="72" t="s">
        <v>55</v>
      </c>
      <c r="C40" s="71">
        <v>1</v>
      </c>
      <c r="D40"/>
      <c r="E40" s="76"/>
      <c r="F40" s="75"/>
    </row>
    <row r="41" spans="1:6" x14ac:dyDescent="0.35">
      <c r="A41" s="5"/>
      <c r="B41" s="72" t="s">
        <v>62</v>
      </c>
      <c r="C41" s="71">
        <v>1</v>
      </c>
      <c r="D41"/>
      <c r="E41" s="76"/>
      <c r="F41" s="75"/>
    </row>
    <row r="42" spans="1:6" x14ac:dyDescent="0.35">
      <c r="A42" s="5"/>
      <c r="B42" s="72" t="s">
        <v>70</v>
      </c>
      <c r="C42" s="71">
        <v>1</v>
      </c>
      <c r="D42"/>
      <c r="E42" s="76"/>
      <c r="F42" s="75"/>
    </row>
    <row r="43" spans="1:6" x14ac:dyDescent="0.35">
      <c r="A43" s="5"/>
      <c r="B43" s="72" t="s">
        <v>51</v>
      </c>
      <c r="C43" s="71">
        <v>1</v>
      </c>
      <c r="D43"/>
      <c r="E43" s="76"/>
      <c r="F43" s="75"/>
    </row>
    <row r="44" spans="1:6" x14ac:dyDescent="0.35">
      <c r="A44" s="5"/>
      <c r="B44" s="72" t="s">
        <v>49</v>
      </c>
      <c r="C44" s="71">
        <v>1</v>
      </c>
      <c r="D44"/>
      <c r="E44" s="76"/>
      <c r="F44" s="75"/>
    </row>
    <row r="45" spans="1:6" x14ac:dyDescent="0.35">
      <c r="A45" s="5"/>
      <c r="B45" s="72" t="s">
        <v>53</v>
      </c>
      <c r="C45" s="71">
        <v>1</v>
      </c>
      <c r="D45"/>
      <c r="E45" s="76"/>
      <c r="F45" s="75"/>
    </row>
    <row r="46" spans="1:6" x14ac:dyDescent="0.35">
      <c r="A46" s="5"/>
      <c r="B46" s="72" t="s">
        <v>52</v>
      </c>
      <c r="C46" s="71"/>
      <c r="D46"/>
      <c r="E46" s="76"/>
      <c r="F46" s="75"/>
    </row>
    <row r="47" spans="1:6" x14ac:dyDescent="0.35">
      <c r="A47" s="5"/>
      <c r="B47" s="72" t="s">
        <v>28</v>
      </c>
      <c r="C47" s="71">
        <v>394</v>
      </c>
      <c r="D47"/>
      <c r="E47" s="76"/>
      <c r="F47" s="75"/>
    </row>
    <row r="48" spans="1:6" x14ac:dyDescent="0.35">
      <c r="A48" s="5"/>
      <c r="B48"/>
      <c r="C48"/>
      <c r="D48"/>
      <c r="E48" s="76"/>
      <c r="F48" s="75"/>
    </row>
    <row r="49" spans="1:6" x14ac:dyDescent="0.35">
      <c r="A49" s="5"/>
      <c r="B49"/>
      <c r="C49"/>
      <c r="D49"/>
      <c r="E49" s="76"/>
      <c r="F49" s="75"/>
    </row>
    <row r="50" spans="1:6" x14ac:dyDescent="0.35">
      <c r="A50" s="5"/>
      <c r="B50"/>
      <c r="C50"/>
      <c r="D50"/>
      <c r="E50" s="76"/>
      <c r="F50" s="75"/>
    </row>
    <row r="51" spans="1:6" x14ac:dyDescent="0.35">
      <c r="A51" s="5"/>
      <c r="B51"/>
      <c r="C51"/>
      <c r="D51"/>
      <c r="E51" s="76"/>
      <c r="F51" s="75"/>
    </row>
    <row r="52" spans="1:6" x14ac:dyDescent="0.35">
      <c r="A52" s="5"/>
      <c r="B52"/>
      <c r="C52"/>
      <c r="D52"/>
      <c r="E52" s="76"/>
      <c r="F52" s="75"/>
    </row>
    <row r="53" spans="1:6" x14ac:dyDescent="0.35">
      <c r="A53" s="5"/>
      <c r="B53"/>
      <c r="C53"/>
      <c r="D53"/>
      <c r="E53" s="76"/>
      <c r="F53" s="75"/>
    </row>
    <row r="54" spans="1:6" x14ac:dyDescent="0.35">
      <c r="A54" s="5"/>
      <c r="B54"/>
      <c r="C54"/>
      <c r="D54"/>
      <c r="E54" s="76"/>
      <c r="F54" s="75"/>
    </row>
    <row r="55" spans="1:6" x14ac:dyDescent="0.35">
      <c r="A55" s="5"/>
      <c r="B55"/>
      <c r="C55"/>
      <c r="D55"/>
      <c r="E55" s="76"/>
      <c r="F55" s="75"/>
    </row>
    <row r="56" spans="1:6" x14ac:dyDescent="0.35">
      <c r="A56" s="5"/>
      <c r="B56"/>
      <c r="C56"/>
      <c r="D56"/>
      <c r="E56" s="76"/>
      <c r="F56" s="75"/>
    </row>
    <row r="57" spans="1:6" x14ac:dyDescent="0.35">
      <c r="A57" s="5"/>
      <c r="B57"/>
      <c r="C57"/>
      <c r="D57"/>
      <c r="E57" s="76"/>
      <c r="F57" s="75"/>
    </row>
    <row r="58" spans="1:6" x14ac:dyDescent="0.35">
      <c r="A58" s="5"/>
      <c r="B58"/>
      <c r="C58"/>
      <c r="D58"/>
      <c r="E58" s="76"/>
      <c r="F58" s="75"/>
    </row>
    <row r="59" spans="1:6" x14ac:dyDescent="0.35">
      <c r="A59" s="5"/>
      <c r="B59"/>
      <c r="C59"/>
      <c r="D59"/>
      <c r="E59" s="76"/>
      <c r="F59" s="75"/>
    </row>
    <row r="60" spans="1:6" x14ac:dyDescent="0.35">
      <c r="A60" s="5"/>
      <c r="B60"/>
      <c r="C60"/>
      <c r="D60"/>
      <c r="E60" s="76"/>
      <c r="F60" s="75"/>
    </row>
    <row r="61" spans="1:6" x14ac:dyDescent="0.35">
      <c r="A61" s="5"/>
      <c r="B61"/>
      <c r="C61"/>
      <c r="D61"/>
      <c r="E61" s="76"/>
      <c r="F61" s="75"/>
    </row>
    <row r="62" spans="1:6" x14ac:dyDescent="0.35">
      <c r="A62" s="5"/>
      <c r="B62"/>
      <c r="C62"/>
      <c r="D62"/>
      <c r="E62" s="76"/>
      <c r="F62" s="75"/>
    </row>
    <row r="63" spans="1:6" x14ac:dyDescent="0.35">
      <c r="A63" s="5"/>
      <c r="B63"/>
      <c r="C63"/>
      <c r="D63"/>
      <c r="E63" s="76"/>
      <c r="F63" s="75"/>
    </row>
    <row r="64" spans="1:6" x14ac:dyDescent="0.35">
      <c r="A64" s="5"/>
      <c r="B64"/>
      <c r="C64"/>
      <c r="D64"/>
      <c r="E64" s="76"/>
      <c r="F64" s="75"/>
    </row>
    <row r="65" spans="1:6" x14ac:dyDescent="0.35">
      <c r="A65" s="5"/>
      <c r="B65"/>
      <c r="C65"/>
      <c r="D65"/>
      <c r="E65" s="76"/>
      <c r="F65" s="75"/>
    </row>
    <row r="66" spans="1:6" x14ac:dyDescent="0.35">
      <c r="A66" s="5"/>
      <c r="B66"/>
      <c r="C66"/>
      <c r="D66"/>
      <c r="E66" s="76"/>
      <c r="F66" s="75"/>
    </row>
    <row r="67" spans="1:6" x14ac:dyDescent="0.35">
      <c r="A67" s="5"/>
      <c r="B67"/>
      <c r="C67"/>
      <c r="D67"/>
      <c r="E67" s="76"/>
      <c r="F67" s="75"/>
    </row>
    <row r="68" spans="1:6" x14ac:dyDescent="0.35">
      <c r="A68" s="5"/>
      <c r="B68"/>
      <c r="C68"/>
      <c r="D68"/>
      <c r="E68" s="76"/>
      <c r="F68" s="75"/>
    </row>
    <row r="69" spans="1:6" x14ac:dyDescent="0.35">
      <c r="A69" s="5"/>
      <c r="B69"/>
      <c r="C69"/>
      <c r="D69"/>
      <c r="E69" s="76"/>
      <c r="F69" s="75"/>
    </row>
    <row r="70" spans="1:6" x14ac:dyDescent="0.35">
      <c r="A70" s="5"/>
      <c r="B70"/>
      <c r="C70"/>
      <c r="D70"/>
      <c r="E70" s="76"/>
      <c r="F70" s="75"/>
    </row>
    <row r="71" spans="1:6" x14ac:dyDescent="0.35">
      <c r="A71" s="5"/>
      <c r="B71"/>
      <c r="C71"/>
      <c r="D71"/>
      <c r="E71" s="76"/>
      <c r="F71" s="75"/>
    </row>
    <row r="72" spans="1:6" x14ac:dyDescent="0.35">
      <c r="A72" s="5"/>
      <c r="B72"/>
      <c r="C72"/>
      <c r="D72"/>
      <c r="E72" s="76"/>
      <c r="F72" s="75"/>
    </row>
    <row r="73" spans="1:6" x14ac:dyDescent="0.35">
      <c r="A73" s="5"/>
      <c r="B73"/>
      <c r="C73"/>
      <c r="D73"/>
      <c r="E73" s="76"/>
      <c r="F73" s="75"/>
    </row>
    <row r="74" spans="1:6" x14ac:dyDescent="0.35">
      <c r="A74" s="5"/>
      <c r="B74"/>
      <c r="C74"/>
      <c r="D74"/>
      <c r="E74" s="76"/>
      <c r="F74" s="75"/>
    </row>
    <row r="75" spans="1:6" x14ac:dyDescent="0.35">
      <c r="A75" s="5"/>
      <c r="B75"/>
      <c r="C75"/>
      <c r="D75"/>
      <c r="E75" s="76"/>
      <c r="F75" s="75"/>
    </row>
    <row r="76" spans="1:6" x14ac:dyDescent="0.35">
      <c r="A76" s="5"/>
      <c r="B76"/>
      <c r="C76"/>
      <c r="D76"/>
      <c r="E76" s="76"/>
      <c r="F76" s="75"/>
    </row>
    <row r="77" spans="1:6" x14ac:dyDescent="0.35">
      <c r="A77" s="5"/>
      <c r="B77"/>
      <c r="C77"/>
      <c r="D77"/>
      <c r="E77" s="76"/>
      <c r="F77" s="75"/>
    </row>
    <row r="78" spans="1:6" x14ac:dyDescent="0.35">
      <c r="A78" s="5"/>
      <c r="B78"/>
      <c r="C78"/>
      <c r="D78"/>
      <c r="E78" s="76"/>
      <c r="F78" s="75"/>
    </row>
    <row r="79" spans="1:6" x14ac:dyDescent="0.35">
      <c r="A79" s="5"/>
      <c r="B79"/>
      <c r="C79"/>
      <c r="D79"/>
      <c r="E79" s="76"/>
      <c r="F79" s="75"/>
    </row>
    <row r="80" spans="1:6" x14ac:dyDescent="0.35">
      <c r="A80" s="5"/>
      <c r="B80"/>
      <c r="C80"/>
      <c r="D80"/>
      <c r="E80" s="76"/>
      <c r="F80" s="75"/>
    </row>
    <row r="81" spans="1:6" x14ac:dyDescent="0.35">
      <c r="A81" s="5"/>
      <c r="B81"/>
      <c r="C81"/>
      <c r="D81"/>
      <c r="E81" s="76"/>
      <c r="F81" s="75"/>
    </row>
    <row r="82" spans="1:6" x14ac:dyDescent="0.35">
      <c r="A82" s="5"/>
      <c r="B82"/>
      <c r="C82"/>
      <c r="D82"/>
      <c r="E82" s="76"/>
      <c r="F82" s="75"/>
    </row>
    <row r="83" spans="1:6" x14ac:dyDescent="0.35">
      <c r="A83" s="5"/>
      <c r="B83"/>
      <c r="C83"/>
      <c r="D83"/>
      <c r="E83" s="76"/>
      <c r="F83" s="75"/>
    </row>
    <row r="84" spans="1:6" x14ac:dyDescent="0.35">
      <c r="A84" s="5"/>
      <c r="B84"/>
      <c r="C84"/>
      <c r="D84"/>
      <c r="E84" s="76"/>
      <c r="F84" s="75"/>
    </row>
    <row r="85" spans="1:6" x14ac:dyDescent="0.35">
      <c r="A85" s="5"/>
      <c r="B85"/>
      <c r="C85"/>
      <c r="D85"/>
      <c r="E85" s="76"/>
      <c r="F85" s="75"/>
    </row>
    <row r="86" spans="1:6" x14ac:dyDescent="0.35">
      <c r="A86" s="5"/>
      <c r="B86"/>
      <c r="C86"/>
      <c r="D86"/>
      <c r="E86" s="76"/>
      <c r="F86" s="75"/>
    </row>
    <row r="87" spans="1:6" x14ac:dyDescent="0.35">
      <c r="A87" s="5"/>
      <c r="B87"/>
      <c r="C87"/>
      <c r="D87"/>
      <c r="E87" s="76"/>
      <c r="F87" s="75"/>
    </row>
    <row r="88" spans="1:6" x14ac:dyDescent="0.35">
      <c r="A88" s="5"/>
      <c r="B88"/>
      <c r="C88"/>
      <c r="D88"/>
      <c r="E88" s="76"/>
      <c r="F88" s="75"/>
    </row>
    <row r="89" spans="1:6" x14ac:dyDescent="0.35">
      <c r="A89" s="5"/>
      <c r="B89"/>
      <c r="C89"/>
      <c r="D89"/>
      <c r="E89" s="76"/>
      <c r="F89" s="75"/>
    </row>
    <row r="90" spans="1:6" x14ac:dyDescent="0.35">
      <c r="A90" s="5"/>
      <c r="B90"/>
      <c r="C90"/>
      <c r="D90"/>
      <c r="E90" s="76"/>
      <c r="F90" s="75"/>
    </row>
    <row r="91" spans="1:6" x14ac:dyDescent="0.35">
      <c r="A91" s="5"/>
      <c r="B91"/>
      <c r="C91"/>
      <c r="D91"/>
      <c r="E91" s="76"/>
      <c r="F91" s="75"/>
    </row>
    <row r="92" spans="1:6" x14ac:dyDescent="0.35">
      <c r="A92" s="5"/>
      <c r="B92"/>
      <c r="C92"/>
      <c r="D92"/>
      <c r="E92" s="76"/>
      <c r="F92" s="75"/>
    </row>
    <row r="93" spans="1:6" x14ac:dyDescent="0.35">
      <c r="A93" s="5"/>
      <c r="B93"/>
      <c r="C93"/>
      <c r="D93"/>
      <c r="E93" s="76"/>
      <c r="F93" s="75"/>
    </row>
    <row r="94" spans="1:6" x14ac:dyDescent="0.35">
      <c r="A94" s="5"/>
      <c r="B94"/>
      <c r="C94"/>
      <c r="D94"/>
      <c r="E94" s="76"/>
      <c r="F94" s="75"/>
    </row>
    <row r="95" spans="1:6" x14ac:dyDescent="0.35">
      <c r="A95" s="5"/>
      <c r="B95"/>
      <c r="C95"/>
      <c r="D95"/>
      <c r="E95" s="76"/>
      <c r="F95" s="75"/>
    </row>
    <row r="96" spans="1:6" x14ac:dyDescent="0.35">
      <c r="A96" s="5"/>
      <c r="B96"/>
      <c r="C96"/>
      <c r="D96"/>
      <c r="E96" s="76"/>
      <c r="F96" s="75"/>
    </row>
    <row r="97" spans="1:6" x14ac:dyDescent="0.35">
      <c r="A97" s="5"/>
      <c r="B97"/>
      <c r="C97"/>
      <c r="D97"/>
      <c r="E97" s="76"/>
      <c r="F97" s="75"/>
    </row>
    <row r="98" spans="1:6" x14ac:dyDescent="0.35">
      <c r="A98" s="5"/>
      <c r="B98"/>
      <c r="C98"/>
      <c r="D98"/>
      <c r="E98" s="76"/>
      <c r="F98" s="75"/>
    </row>
    <row r="99" spans="1:6" x14ac:dyDescent="0.35">
      <c r="A99" s="5"/>
      <c r="B99"/>
      <c r="C99"/>
      <c r="D99"/>
      <c r="E99" s="76"/>
      <c r="F99" s="75"/>
    </row>
    <row r="100" spans="1:6" x14ac:dyDescent="0.35">
      <c r="A100" s="5"/>
      <c r="B100"/>
      <c r="C100"/>
      <c r="D100"/>
      <c r="E100" s="76"/>
      <c r="F100" s="75"/>
    </row>
    <row r="101" spans="1:6" x14ac:dyDescent="0.35">
      <c r="A101" s="5"/>
      <c r="B101"/>
      <c r="C101"/>
      <c r="D101"/>
      <c r="E101" s="76"/>
      <c r="F101" s="75"/>
    </row>
    <row r="102" spans="1:6" x14ac:dyDescent="0.35">
      <c r="A102" s="5"/>
      <c r="B102"/>
      <c r="C102"/>
      <c r="D102"/>
      <c r="E102" s="76"/>
      <c r="F102" s="75"/>
    </row>
    <row r="103" spans="1:6" x14ac:dyDescent="0.35">
      <c r="A103" s="5"/>
      <c r="B103"/>
      <c r="C103"/>
      <c r="D103"/>
      <c r="E103" s="76"/>
      <c r="F103" s="75"/>
    </row>
    <row r="104" spans="1:6" x14ac:dyDescent="0.35">
      <c r="A104" s="5"/>
      <c r="B104"/>
      <c r="C104"/>
      <c r="D104"/>
      <c r="E104" s="76"/>
      <c r="F104" s="75"/>
    </row>
    <row r="105" spans="1:6" x14ac:dyDescent="0.35">
      <c r="A105" s="5"/>
      <c r="B105"/>
      <c r="C105"/>
      <c r="D105"/>
      <c r="E105" s="76"/>
      <c r="F105" s="75"/>
    </row>
    <row r="106" spans="1:6" x14ac:dyDescent="0.35">
      <c r="A106" s="5"/>
      <c r="B106"/>
      <c r="C106"/>
      <c r="D106"/>
      <c r="E106" s="76"/>
      <c r="F106" s="75"/>
    </row>
    <row r="107" spans="1:6" x14ac:dyDescent="0.35">
      <c r="A107" s="5"/>
      <c r="B107"/>
      <c r="C107"/>
      <c r="D107"/>
      <c r="E107" s="76"/>
      <c r="F107" s="75"/>
    </row>
    <row r="108" spans="1:6" x14ac:dyDescent="0.35">
      <c r="A108" s="5"/>
      <c r="B108"/>
      <c r="C108"/>
      <c r="D108"/>
      <c r="E108" s="76"/>
      <c r="F108" s="75"/>
    </row>
    <row r="109" spans="1:6" x14ac:dyDescent="0.35">
      <c r="A109" s="5"/>
      <c r="B109"/>
      <c r="C109"/>
      <c r="D109"/>
      <c r="E109" s="76"/>
      <c r="F109" s="75"/>
    </row>
    <row r="110" spans="1:6" x14ac:dyDescent="0.35">
      <c r="A110" s="5"/>
      <c r="B110"/>
      <c r="C110"/>
      <c r="D110"/>
      <c r="E110" s="76"/>
      <c r="F110" s="75"/>
    </row>
    <row r="111" spans="1:6" x14ac:dyDescent="0.35">
      <c r="A111" s="5"/>
      <c r="B111"/>
      <c r="C111"/>
      <c r="D111"/>
      <c r="E111" s="76"/>
      <c r="F111" s="75"/>
    </row>
    <row r="112" spans="1:6" x14ac:dyDescent="0.35">
      <c r="A112" s="5"/>
      <c r="B112"/>
      <c r="C112"/>
      <c r="D112"/>
      <c r="E112" s="76"/>
      <c r="F112" s="75"/>
    </row>
    <row r="113" spans="1:6" x14ac:dyDescent="0.35">
      <c r="A113" s="5"/>
      <c r="B113"/>
      <c r="C113"/>
      <c r="D113"/>
      <c r="E113" s="76"/>
      <c r="F113" s="75"/>
    </row>
    <row r="114" spans="1:6" x14ac:dyDescent="0.35">
      <c r="A114" s="5"/>
      <c r="B114"/>
      <c r="C114"/>
      <c r="D114"/>
      <c r="E114" s="76"/>
      <c r="F114" s="75"/>
    </row>
    <row r="115" spans="1:6" x14ac:dyDescent="0.35">
      <c r="A115" s="5"/>
      <c r="B115"/>
      <c r="C115"/>
      <c r="D115"/>
      <c r="E115" s="76"/>
      <c r="F115" s="75"/>
    </row>
    <row r="116" spans="1:6" x14ac:dyDescent="0.35">
      <c r="A116" s="5"/>
      <c r="B116"/>
      <c r="C116"/>
      <c r="D116"/>
      <c r="E116" s="76"/>
      <c r="F116" s="75"/>
    </row>
    <row r="117" spans="1:6" x14ac:dyDescent="0.35">
      <c r="A117" s="5"/>
      <c r="B117"/>
      <c r="C117"/>
      <c r="D117"/>
      <c r="E117" s="76"/>
      <c r="F117" s="75"/>
    </row>
    <row r="118" spans="1:6" x14ac:dyDescent="0.35">
      <c r="A118" s="5"/>
      <c r="B118"/>
      <c r="C118"/>
      <c r="D118"/>
      <c r="E118" s="76"/>
      <c r="F118" s="75"/>
    </row>
    <row r="119" spans="1:6" x14ac:dyDescent="0.35">
      <c r="A119" s="5"/>
      <c r="B119"/>
      <c r="C119"/>
      <c r="D119"/>
      <c r="E119" s="76"/>
      <c r="F119" s="75"/>
    </row>
    <row r="120" spans="1:6" x14ac:dyDescent="0.35">
      <c r="A120" s="5"/>
      <c r="B120"/>
      <c r="C120"/>
      <c r="D120"/>
      <c r="E120" s="76"/>
      <c r="F120" s="75"/>
    </row>
    <row r="121" spans="1:6" x14ac:dyDescent="0.35">
      <c r="A121" s="5"/>
      <c r="B121"/>
      <c r="C121"/>
      <c r="D121"/>
      <c r="E121" s="76"/>
      <c r="F121" s="75"/>
    </row>
    <row r="122" spans="1:6" x14ac:dyDescent="0.35">
      <c r="A122" s="5"/>
      <c r="B122"/>
      <c r="C122"/>
      <c r="D122"/>
      <c r="E122" s="76"/>
      <c r="F122" s="75"/>
    </row>
    <row r="123" spans="1:6" x14ac:dyDescent="0.35">
      <c r="A123" s="5"/>
      <c r="B123"/>
      <c r="C123"/>
      <c r="D123"/>
      <c r="E123" s="76"/>
      <c r="F123" s="75"/>
    </row>
    <row r="124" spans="1:6" x14ac:dyDescent="0.35">
      <c r="A124" s="5"/>
      <c r="B124"/>
      <c r="C124"/>
      <c r="D124"/>
      <c r="E124" s="76"/>
      <c r="F124" s="75"/>
    </row>
    <row r="125" spans="1:6" x14ac:dyDescent="0.35">
      <c r="A125" s="5"/>
      <c r="B125"/>
      <c r="C125"/>
      <c r="D125"/>
      <c r="E125" s="76"/>
      <c r="F125" s="75"/>
    </row>
    <row r="126" spans="1:6" x14ac:dyDescent="0.35">
      <c r="A126" s="5"/>
      <c r="B126"/>
      <c r="C126"/>
      <c r="D126"/>
      <c r="E126" s="76"/>
      <c r="F126" s="75"/>
    </row>
    <row r="127" spans="1:6" x14ac:dyDescent="0.35">
      <c r="A127" s="5"/>
      <c r="B127"/>
      <c r="C127"/>
      <c r="D127"/>
      <c r="E127" s="76"/>
      <c r="F127" s="75"/>
    </row>
    <row r="128" spans="1:6" x14ac:dyDescent="0.35">
      <c r="A128" s="5"/>
      <c r="B128"/>
      <c r="C128"/>
      <c r="D128"/>
      <c r="E128" s="76"/>
      <c r="F128" s="75"/>
    </row>
    <row r="129" spans="1:6" x14ac:dyDescent="0.35">
      <c r="A129" s="5"/>
      <c r="B129"/>
      <c r="C129"/>
      <c r="D129"/>
      <c r="E129" s="76"/>
      <c r="F129" s="75"/>
    </row>
    <row r="130" spans="1:6" x14ac:dyDescent="0.35">
      <c r="A130" s="5"/>
      <c r="B130"/>
      <c r="C130"/>
      <c r="D130"/>
      <c r="E130" s="76"/>
      <c r="F130" s="75"/>
    </row>
    <row r="131" spans="1:6" x14ac:dyDescent="0.35">
      <c r="A131" s="5"/>
      <c r="B131"/>
      <c r="C131"/>
      <c r="D131"/>
      <c r="E131" s="76"/>
      <c r="F131" s="75"/>
    </row>
    <row r="132" spans="1:6" x14ac:dyDescent="0.35">
      <c r="A132" s="5"/>
      <c r="B132"/>
      <c r="C132"/>
      <c r="D132"/>
      <c r="E132" s="76"/>
      <c r="F132" s="75"/>
    </row>
    <row r="133" spans="1:6" x14ac:dyDescent="0.35">
      <c r="A133" s="5"/>
      <c r="B133"/>
      <c r="C133"/>
      <c r="D133"/>
      <c r="E133" s="76"/>
      <c r="F133" s="75"/>
    </row>
    <row r="134" spans="1:6" x14ac:dyDescent="0.35">
      <c r="A134" s="5"/>
      <c r="B134"/>
      <c r="C134"/>
      <c r="D134"/>
      <c r="E134" s="76"/>
      <c r="F134" s="75"/>
    </row>
    <row r="135" spans="1:6" x14ac:dyDescent="0.35">
      <c r="A135" s="5"/>
      <c r="B135"/>
      <c r="C135"/>
      <c r="D135"/>
      <c r="E135" s="76"/>
      <c r="F135" s="75"/>
    </row>
    <row r="136" spans="1:6" x14ac:dyDescent="0.35">
      <c r="A136" s="5"/>
      <c r="B136"/>
      <c r="C136"/>
      <c r="D136"/>
      <c r="E136" s="76"/>
      <c r="F136" s="75"/>
    </row>
    <row r="137" spans="1:6" x14ac:dyDescent="0.35">
      <c r="A137" s="5"/>
      <c r="B137"/>
      <c r="C137"/>
      <c r="D137"/>
      <c r="E137" s="76"/>
      <c r="F137" s="75"/>
    </row>
    <row r="138" spans="1:6" x14ac:dyDescent="0.35">
      <c r="A138" s="5"/>
      <c r="B138"/>
      <c r="C138"/>
      <c r="D138"/>
      <c r="E138" s="76"/>
      <c r="F138" s="75"/>
    </row>
    <row r="139" spans="1:6" x14ac:dyDescent="0.35">
      <c r="A139" s="5"/>
      <c r="B139"/>
      <c r="C139"/>
      <c r="D139"/>
      <c r="E139" s="76"/>
      <c r="F139" s="75"/>
    </row>
    <row r="140" spans="1:6" x14ac:dyDescent="0.35">
      <c r="A140" s="5"/>
      <c r="B140"/>
      <c r="C140"/>
      <c r="D140"/>
      <c r="E140" s="76"/>
      <c r="F140" s="75"/>
    </row>
    <row r="141" spans="1:6" x14ac:dyDescent="0.35">
      <c r="A141" s="5"/>
      <c r="B141"/>
      <c r="C141"/>
      <c r="D141"/>
      <c r="E141" s="76"/>
      <c r="F141" s="75"/>
    </row>
    <row r="142" spans="1:6" x14ac:dyDescent="0.35">
      <c r="A142" s="5"/>
      <c r="B142"/>
      <c r="C142"/>
      <c r="D142"/>
      <c r="E142" s="76"/>
      <c r="F142" s="75"/>
    </row>
    <row r="143" spans="1:6" x14ac:dyDescent="0.35">
      <c r="A143" s="5"/>
      <c r="B143"/>
      <c r="C143"/>
      <c r="D143"/>
      <c r="E143" s="76"/>
      <c r="F143" s="75"/>
    </row>
    <row r="144" spans="1:6" x14ac:dyDescent="0.35">
      <c r="A144" s="5"/>
      <c r="B144"/>
      <c r="C144"/>
      <c r="D144"/>
      <c r="E144" s="76"/>
      <c r="F144" s="75"/>
    </row>
    <row r="145" spans="1:6" x14ac:dyDescent="0.35">
      <c r="A145" s="5"/>
      <c r="B145"/>
      <c r="C145"/>
      <c r="D145"/>
      <c r="E145" s="76"/>
      <c r="F145" s="75"/>
    </row>
    <row r="146" spans="1:6" x14ac:dyDescent="0.35">
      <c r="A146" s="5"/>
      <c r="B146"/>
      <c r="C146"/>
      <c r="D146"/>
      <c r="E146" s="76"/>
      <c r="F146" s="75"/>
    </row>
    <row r="147" spans="1:6" x14ac:dyDescent="0.35">
      <c r="A147" s="5"/>
      <c r="B147"/>
      <c r="C147"/>
      <c r="D147"/>
      <c r="E147" s="76"/>
      <c r="F147" s="75"/>
    </row>
    <row r="148" spans="1:6" x14ac:dyDescent="0.35">
      <c r="A148" s="5"/>
      <c r="B148"/>
      <c r="C148"/>
      <c r="D148"/>
      <c r="E148" s="76"/>
      <c r="F148" s="75"/>
    </row>
    <row r="149" spans="1:6" x14ac:dyDescent="0.35">
      <c r="A149" s="5"/>
      <c r="B149"/>
      <c r="C149"/>
      <c r="D149"/>
      <c r="E149" s="76"/>
      <c r="F149" s="75"/>
    </row>
    <row r="150" spans="1:6" x14ac:dyDescent="0.35">
      <c r="A150" s="5"/>
      <c r="B150"/>
      <c r="C150"/>
      <c r="D150"/>
      <c r="E150" s="76"/>
      <c r="F150" s="75"/>
    </row>
    <row r="151" spans="1:6" x14ac:dyDescent="0.35">
      <c r="A151" s="5"/>
      <c r="B151"/>
      <c r="C151"/>
      <c r="D151"/>
      <c r="E151" s="76"/>
      <c r="F151" s="75"/>
    </row>
    <row r="152" spans="1:6" x14ac:dyDescent="0.35">
      <c r="A152" s="5"/>
      <c r="B152"/>
      <c r="C152"/>
      <c r="D152"/>
      <c r="E152" s="76"/>
      <c r="F152" s="75"/>
    </row>
    <row r="153" spans="1:6" x14ac:dyDescent="0.35">
      <c r="A153" s="5"/>
      <c r="B153"/>
      <c r="C153"/>
      <c r="D153"/>
      <c r="E153" s="76"/>
      <c r="F153" s="75"/>
    </row>
    <row r="154" spans="1:6" x14ac:dyDescent="0.35">
      <c r="A154" s="5"/>
      <c r="B154"/>
      <c r="C154"/>
      <c r="D154"/>
      <c r="E154" s="76"/>
      <c r="F154" s="75"/>
    </row>
    <row r="155" spans="1:6" x14ac:dyDescent="0.35">
      <c r="A155" s="5"/>
      <c r="B155"/>
      <c r="C155"/>
      <c r="D155"/>
      <c r="E155" s="76"/>
      <c r="F155" s="75"/>
    </row>
    <row r="156" spans="1:6" x14ac:dyDescent="0.35">
      <c r="A156" s="5"/>
      <c r="B156"/>
      <c r="C156"/>
      <c r="D156"/>
      <c r="E156" s="76"/>
      <c r="F156" s="75"/>
    </row>
    <row r="157" spans="1:6" x14ac:dyDescent="0.35">
      <c r="A157" s="5"/>
      <c r="B157"/>
      <c r="C157"/>
      <c r="D157"/>
      <c r="E157" s="76"/>
      <c r="F157" s="75"/>
    </row>
    <row r="158" spans="1:6" x14ac:dyDescent="0.35">
      <c r="A158" s="5"/>
      <c r="B158"/>
      <c r="C158"/>
      <c r="D158"/>
      <c r="E158" s="76"/>
      <c r="F158" s="75"/>
    </row>
    <row r="159" spans="1:6" x14ac:dyDescent="0.35">
      <c r="A159" s="5"/>
      <c r="B159"/>
      <c r="C159"/>
      <c r="D159"/>
      <c r="E159" s="76"/>
      <c r="F159" s="75"/>
    </row>
    <row r="160" spans="1:6" x14ac:dyDescent="0.35">
      <c r="A160" s="5"/>
      <c r="B160"/>
      <c r="C160"/>
      <c r="D160"/>
      <c r="E160" s="76"/>
      <c r="F160" s="75"/>
    </row>
    <row r="161" spans="1:6" x14ac:dyDescent="0.35">
      <c r="A161" s="5"/>
      <c r="B161"/>
      <c r="C161"/>
      <c r="D161"/>
      <c r="E161" s="76"/>
      <c r="F161" s="75"/>
    </row>
    <row r="162" spans="1:6" x14ac:dyDescent="0.35">
      <c r="A162" s="5"/>
      <c r="B162"/>
      <c r="C162"/>
      <c r="D162"/>
      <c r="E162" s="76"/>
      <c r="F162" s="75"/>
    </row>
    <row r="163" spans="1:6" x14ac:dyDescent="0.35">
      <c r="A163" s="5"/>
      <c r="B163"/>
      <c r="C163"/>
      <c r="D163"/>
      <c r="E163" s="76"/>
      <c r="F163" s="75"/>
    </row>
    <row r="164" spans="1:6" x14ac:dyDescent="0.35">
      <c r="A164" s="5"/>
      <c r="B164"/>
      <c r="C164"/>
      <c r="D164"/>
      <c r="E164" s="76"/>
      <c r="F164" s="75"/>
    </row>
    <row r="165" spans="1:6" x14ac:dyDescent="0.35">
      <c r="A165" s="5"/>
      <c r="B165"/>
      <c r="C165"/>
      <c r="D165"/>
      <c r="E165" s="76"/>
      <c r="F165" s="75"/>
    </row>
    <row r="166" spans="1:6" x14ac:dyDescent="0.35">
      <c r="A166" s="5"/>
      <c r="B166"/>
      <c r="C166"/>
      <c r="D166"/>
      <c r="E166" s="76"/>
      <c r="F166" s="75"/>
    </row>
    <row r="167" spans="1:6" x14ac:dyDescent="0.35">
      <c r="A167" s="5"/>
      <c r="B167"/>
      <c r="C167"/>
      <c r="D167"/>
      <c r="E167" s="76"/>
      <c r="F167" s="75"/>
    </row>
    <row r="168" spans="1:6" x14ac:dyDescent="0.35">
      <c r="A168" s="5"/>
      <c r="B168"/>
      <c r="C168"/>
      <c r="D168"/>
      <c r="E168" s="76"/>
      <c r="F168" s="75"/>
    </row>
    <row r="169" spans="1:6" x14ac:dyDescent="0.35">
      <c r="A169" s="5"/>
      <c r="B169"/>
      <c r="C169"/>
      <c r="D169"/>
      <c r="E169" s="76"/>
      <c r="F169" s="75"/>
    </row>
    <row r="170" spans="1:6" x14ac:dyDescent="0.35">
      <c r="A170" s="5"/>
      <c r="B170"/>
      <c r="C170"/>
      <c r="D170"/>
      <c r="E170" s="76"/>
      <c r="F170" s="75"/>
    </row>
    <row r="171" spans="1:6" x14ac:dyDescent="0.35">
      <c r="A171" s="5"/>
      <c r="B171"/>
      <c r="C171"/>
      <c r="D171"/>
      <c r="E171" s="76"/>
      <c r="F171" s="75"/>
    </row>
    <row r="172" spans="1:6" x14ac:dyDescent="0.35">
      <c r="A172" s="5"/>
      <c r="B172"/>
      <c r="C172"/>
      <c r="D172"/>
      <c r="E172" s="76"/>
      <c r="F172" s="75"/>
    </row>
    <row r="173" spans="1:6" x14ac:dyDescent="0.35">
      <c r="A173" s="5"/>
      <c r="B173"/>
      <c r="C173"/>
      <c r="D173"/>
      <c r="E173" s="76"/>
      <c r="F173" s="75"/>
    </row>
    <row r="174" spans="1:6" x14ac:dyDescent="0.35">
      <c r="A174" s="5"/>
      <c r="B174"/>
      <c r="C174"/>
      <c r="D174"/>
      <c r="E174" s="76"/>
      <c r="F174" s="75"/>
    </row>
    <row r="175" spans="1:6" x14ac:dyDescent="0.35">
      <c r="A175" s="5"/>
      <c r="B175"/>
      <c r="C175"/>
      <c r="D175"/>
      <c r="E175" s="76"/>
      <c r="F175" s="75"/>
    </row>
    <row r="176" spans="1:6" x14ac:dyDescent="0.35">
      <c r="A176" s="5"/>
      <c r="B176"/>
      <c r="C176"/>
      <c r="D176"/>
      <c r="E176" s="76"/>
      <c r="F176" s="75"/>
    </row>
    <row r="177" spans="1:6" x14ac:dyDescent="0.35">
      <c r="A177" s="5"/>
      <c r="B177"/>
      <c r="C177"/>
      <c r="D177"/>
      <c r="E177" s="76"/>
      <c r="F177" s="75"/>
    </row>
    <row r="178" spans="1:6" x14ac:dyDescent="0.35">
      <c r="A178" s="5"/>
      <c r="B178"/>
      <c r="C178"/>
      <c r="D178"/>
      <c r="E178" s="76"/>
      <c r="F178" s="75"/>
    </row>
    <row r="179" spans="1:6" x14ac:dyDescent="0.35">
      <c r="A179" s="5"/>
      <c r="B179"/>
      <c r="C179"/>
      <c r="D179"/>
      <c r="E179" s="76"/>
      <c r="F179" s="75"/>
    </row>
    <row r="180" spans="1:6" x14ac:dyDescent="0.35">
      <c r="A180" s="5"/>
      <c r="B180"/>
      <c r="C180"/>
      <c r="D180"/>
      <c r="E180" s="76"/>
      <c r="F180" s="75"/>
    </row>
    <row r="181" spans="1:6" x14ac:dyDescent="0.35">
      <c r="A181" s="5"/>
      <c r="B181"/>
      <c r="C181"/>
      <c r="D181"/>
      <c r="E181" s="76"/>
      <c r="F181" s="75"/>
    </row>
    <row r="182" spans="1:6" x14ac:dyDescent="0.35">
      <c r="A182" s="5"/>
      <c r="B182"/>
      <c r="C182"/>
      <c r="D182"/>
      <c r="E182" s="76"/>
      <c r="F182" s="75"/>
    </row>
    <row r="183" spans="1:6" x14ac:dyDescent="0.35">
      <c r="A183" s="5"/>
      <c r="B183"/>
      <c r="C183"/>
      <c r="D183"/>
      <c r="E183" s="76"/>
      <c r="F183" s="75"/>
    </row>
    <row r="184" spans="1:6" x14ac:dyDescent="0.35">
      <c r="A184" s="5"/>
      <c r="B184"/>
      <c r="C184"/>
      <c r="D184"/>
      <c r="E184" s="76"/>
      <c r="F184" s="75"/>
    </row>
    <row r="185" spans="1:6" x14ac:dyDescent="0.35">
      <c r="A185" s="5"/>
      <c r="B185"/>
      <c r="C185"/>
      <c r="D185"/>
      <c r="E185" s="76"/>
      <c r="F185" s="75"/>
    </row>
    <row r="186" spans="1:6" x14ac:dyDescent="0.35">
      <c r="A186" s="5"/>
      <c r="B186"/>
      <c r="C186"/>
      <c r="D186"/>
      <c r="E186" s="76"/>
      <c r="F186" s="75"/>
    </row>
    <row r="187" spans="1:6" x14ac:dyDescent="0.35">
      <c r="A187" s="5"/>
      <c r="B187"/>
      <c r="C187"/>
      <c r="D187"/>
      <c r="E187" s="76"/>
      <c r="F187" s="75"/>
    </row>
    <row r="188" spans="1:6" x14ac:dyDescent="0.35">
      <c r="A188" s="5"/>
      <c r="B188"/>
      <c r="C188"/>
      <c r="D188"/>
      <c r="E188" s="76"/>
      <c r="F188" s="75"/>
    </row>
    <row r="189" spans="1:6" x14ac:dyDescent="0.35">
      <c r="A189" s="5"/>
      <c r="B189"/>
      <c r="C189"/>
      <c r="D189"/>
      <c r="E189" s="76"/>
      <c r="F189" s="75"/>
    </row>
    <row r="190" spans="1:6" x14ac:dyDescent="0.35">
      <c r="A190" s="5"/>
      <c r="B190"/>
      <c r="C190"/>
      <c r="D190"/>
      <c r="E190" s="76"/>
      <c r="F190" s="75"/>
    </row>
    <row r="191" spans="1:6" x14ac:dyDescent="0.35">
      <c r="A191" s="5"/>
      <c r="B191"/>
      <c r="C191"/>
      <c r="D191"/>
      <c r="E191" s="76"/>
      <c r="F191" s="75"/>
    </row>
    <row r="192" spans="1:6" x14ac:dyDescent="0.35">
      <c r="A192" s="5"/>
      <c r="B192"/>
      <c r="C192"/>
      <c r="D192"/>
      <c r="E192" s="76"/>
      <c r="F192" s="75"/>
    </row>
    <row r="193" spans="1:6" x14ac:dyDescent="0.35">
      <c r="A193" s="5"/>
      <c r="B193"/>
      <c r="C193"/>
      <c r="D193"/>
      <c r="E193" s="76"/>
      <c r="F193" s="75"/>
    </row>
    <row r="194" spans="1:6" x14ac:dyDescent="0.35">
      <c r="A194" s="5"/>
      <c r="B194"/>
      <c r="C194"/>
      <c r="D194"/>
      <c r="E194" s="76"/>
      <c r="F194" s="75"/>
    </row>
    <row r="195" spans="1:6" x14ac:dyDescent="0.35">
      <c r="A195" s="5"/>
      <c r="B195"/>
      <c r="C195"/>
      <c r="D195"/>
      <c r="E195" s="76"/>
      <c r="F195" s="75"/>
    </row>
    <row r="196" spans="1:6" x14ac:dyDescent="0.35">
      <c r="A196" s="5"/>
      <c r="B196"/>
      <c r="C196"/>
      <c r="D196"/>
      <c r="E196" s="76"/>
      <c r="F196" s="75"/>
    </row>
    <row r="197" spans="1:6" x14ac:dyDescent="0.35">
      <c r="A197" s="5"/>
      <c r="B197"/>
      <c r="C197"/>
      <c r="D197"/>
      <c r="E197" s="76"/>
      <c r="F197" s="75"/>
    </row>
    <row r="198" spans="1:6" x14ac:dyDescent="0.35">
      <c r="A198" s="5"/>
      <c r="B198"/>
      <c r="C198"/>
      <c r="D198"/>
      <c r="E198" s="76"/>
      <c r="F198" s="75"/>
    </row>
    <row r="199" spans="1:6" x14ac:dyDescent="0.35">
      <c r="A199" s="5"/>
      <c r="B199"/>
      <c r="C199"/>
      <c r="D199"/>
      <c r="E199" s="76"/>
      <c r="F199" s="75"/>
    </row>
    <row r="200" spans="1:6" x14ac:dyDescent="0.35">
      <c r="A200" s="5"/>
      <c r="B200"/>
      <c r="C200"/>
      <c r="D200"/>
      <c r="E200" s="76"/>
      <c r="F200" s="75"/>
    </row>
    <row r="201" spans="1:6" x14ac:dyDescent="0.35">
      <c r="A201" s="5"/>
      <c r="B201"/>
      <c r="C201"/>
      <c r="D201"/>
      <c r="E201" s="76"/>
      <c r="F201" s="75"/>
    </row>
    <row r="202" spans="1:6" x14ac:dyDescent="0.35">
      <c r="A202" s="5"/>
      <c r="B202"/>
      <c r="C202"/>
      <c r="D202"/>
      <c r="E202" s="76"/>
      <c r="F202" s="75"/>
    </row>
    <row r="203" spans="1:6" x14ac:dyDescent="0.35">
      <c r="A203" s="5"/>
      <c r="B203"/>
      <c r="C203"/>
      <c r="D203"/>
      <c r="E203" s="76"/>
      <c r="F203" s="75"/>
    </row>
    <row r="204" spans="1:6" x14ac:dyDescent="0.35">
      <c r="A204" s="5"/>
      <c r="B204"/>
      <c r="C204"/>
      <c r="D204"/>
      <c r="E204" s="76"/>
      <c r="F204" s="75"/>
    </row>
    <row r="205" spans="1:6" x14ac:dyDescent="0.35">
      <c r="A205" s="5"/>
      <c r="B205"/>
      <c r="C205"/>
      <c r="D205"/>
      <c r="E205" s="76"/>
      <c r="F205" s="75"/>
    </row>
    <row r="206" spans="1:6" x14ac:dyDescent="0.35">
      <c r="A206" s="5"/>
      <c r="B206"/>
      <c r="C206"/>
      <c r="D206"/>
      <c r="E206" s="76"/>
      <c r="F206" s="75"/>
    </row>
    <row r="207" spans="1:6" x14ac:dyDescent="0.35">
      <c r="A207" s="5"/>
      <c r="B207"/>
      <c r="C207"/>
      <c r="D207"/>
      <c r="E207" s="76"/>
      <c r="F207" s="75"/>
    </row>
    <row r="208" spans="1:6" x14ac:dyDescent="0.35">
      <c r="A208" s="5"/>
      <c r="B208"/>
      <c r="C208"/>
      <c r="D208"/>
      <c r="E208" s="76"/>
      <c r="F208" s="75"/>
    </row>
    <row r="209" spans="1:6" x14ac:dyDescent="0.35">
      <c r="A209" s="5"/>
      <c r="B209"/>
      <c r="C209"/>
      <c r="D209"/>
      <c r="E209" s="76"/>
      <c r="F209" s="75"/>
    </row>
    <row r="210" spans="1:6" x14ac:dyDescent="0.35">
      <c r="A210" s="5"/>
      <c r="B210"/>
      <c r="C210"/>
      <c r="D210"/>
      <c r="E210" s="76"/>
      <c r="F210" s="75"/>
    </row>
    <row r="211" spans="1:6" x14ac:dyDescent="0.35">
      <c r="A211" s="5"/>
      <c r="B211"/>
      <c r="C211"/>
      <c r="D211"/>
      <c r="E211" s="76"/>
      <c r="F211" s="75"/>
    </row>
    <row r="212" spans="1:6" x14ac:dyDescent="0.35">
      <c r="A212" s="5"/>
      <c r="B212"/>
      <c r="C212"/>
      <c r="D212"/>
      <c r="E212" s="76"/>
      <c r="F212" s="75"/>
    </row>
    <row r="213" spans="1:6" x14ac:dyDescent="0.35">
      <c r="A213" s="5"/>
      <c r="B213"/>
      <c r="C213"/>
      <c r="D213"/>
      <c r="E213" s="76"/>
      <c r="F213" s="75"/>
    </row>
    <row r="214" spans="1:6" x14ac:dyDescent="0.35">
      <c r="A214" s="5"/>
      <c r="B214"/>
      <c r="C214"/>
      <c r="D214"/>
      <c r="E214" s="76"/>
      <c r="F214" s="75"/>
    </row>
    <row r="215" spans="1:6" x14ac:dyDescent="0.35">
      <c r="A215" s="5"/>
      <c r="B215"/>
      <c r="C215"/>
      <c r="D215"/>
      <c r="E215" s="76"/>
      <c r="F215" s="75"/>
    </row>
    <row r="216" spans="1:6" x14ac:dyDescent="0.35">
      <c r="A216" s="5"/>
      <c r="B216"/>
      <c r="C216"/>
      <c r="D216"/>
      <c r="E216" s="76"/>
      <c r="F216" s="75"/>
    </row>
    <row r="217" spans="1:6" x14ac:dyDescent="0.35">
      <c r="A217" s="5"/>
      <c r="B217"/>
      <c r="C217"/>
      <c r="D217"/>
      <c r="E217" s="76"/>
      <c r="F217" s="75"/>
    </row>
    <row r="218" spans="1:6" x14ac:dyDescent="0.35">
      <c r="A218" s="5"/>
      <c r="B218"/>
      <c r="C218"/>
      <c r="D218"/>
      <c r="E218" s="76"/>
      <c r="F218" s="75"/>
    </row>
    <row r="219" spans="1:6" x14ac:dyDescent="0.35">
      <c r="A219" s="5"/>
      <c r="B219"/>
      <c r="C219"/>
      <c r="D219"/>
      <c r="E219" s="76"/>
      <c r="F219" s="75"/>
    </row>
    <row r="220" spans="1:6" x14ac:dyDescent="0.35">
      <c r="A220" s="5"/>
      <c r="B220"/>
      <c r="C220"/>
      <c r="D220"/>
      <c r="E220" s="76"/>
      <c r="F220" s="75"/>
    </row>
    <row r="221" spans="1:6" x14ac:dyDescent="0.35">
      <c r="A221" s="5"/>
      <c r="B221"/>
      <c r="C221"/>
      <c r="D221"/>
      <c r="E221" s="76"/>
      <c r="F221" s="75"/>
    </row>
    <row r="222" spans="1:6" x14ac:dyDescent="0.35">
      <c r="A222" s="5"/>
      <c r="B222"/>
      <c r="C222"/>
      <c r="D222"/>
      <c r="E222" s="76"/>
      <c r="F222" s="75"/>
    </row>
    <row r="223" spans="1:6" x14ac:dyDescent="0.35">
      <c r="A223" s="5"/>
      <c r="B223"/>
      <c r="C223"/>
      <c r="D223"/>
      <c r="E223" s="76"/>
      <c r="F223" s="75"/>
    </row>
    <row r="224" spans="1:6" x14ac:dyDescent="0.35">
      <c r="A224" s="5"/>
      <c r="B224"/>
      <c r="C224"/>
      <c r="D224"/>
      <c r="E224" s="76"/>
      <c r="F224" s="75"/>
    </row>
    <row r="225" spans="1:6" x14ac:dyDescent="0.35">
      <c r="A225" s="5"/>
      <c r="B225"/>
      <c r="C225"/>
      <c r="D225"/>
      <c r="E225" s="76"/>
      <c r="F225" s="75"/>
    </row>
    <row r="226" spans="1:6" x14ac:dyDescent="0.35">
      <c r="A226" s="5"/>
      <c r="B226"/>
      <c r="C226"/>
      <c r="D226"/>
      <c r="E226" s="76"/>
      <c r="F226" s="75"/>
    </row>
    <row r="227" spans="1:6" x14ac:dyDescent="0.35">
      <c r="A227" s="5"/>
      <c r="B227"/>
      <c r="C227"/>
      <c r="D227"/>
      <c r="E227" s="76"/>
      <c r="F227" s="75"/>
    </row>
    <row r="228" spans="1:6" x14ac:dyDescent="0.35">
      <c r="A228" s="5"/>
      <c r="B228"/>
      <c r="C228"/>
      <c r="D228"/>
      <c r="E228" s="76"/>
      <c r="F228" s="75"/>
    </row>
    <row r="229" spans="1:6" x14ac:dyDescent="0.35">
      <c r="A229" s="5"/>
      <c r="B229"/>
      <c r="C229"/>
      <c r="D229"/>
      <c r="E229" s="76"/>
      <c r="F229" s="75"/>
    </row>
    <row r="230" spans="1:6" x14ac:dyDescent="0.35">
      <c r="A230" s="5"/>
      <c r="B230"/>
      <c r="C230"/>
      <c r="D230"/>
      <c r="E230" s="76"/>
      <c r="F230" s="75"/>
    </row>
    <row r="231" spans="1:6" x14ac:dyDescent="0.35">
      <c r="A231" s="5"/>
      <c r="B231"/>
      <c r="C231"/>
      <c r="D231"/>
      <c r="E231" s="76"/>
      <c r="F231" s="75"/>
    </row>
    <row r="232" spans="1:6" x14ac:dyDescent="0.35">
      <c r="A232" s="5"/>
      <c r="B232"/>
      <c r="C232"/>
      <c r="D232"/>
      <c r="E232" s="76"/>
      <c r="F232" s="75"/>
    </row>
    <row r="233" spans="1:6" x14ac:dyDescent="0.35">
      <c r="A233" s="5"/>
      <c r="B233"/>
      <c r="C233"/>
      <c r="D233"/>
      <c r="E233" s="76"/>
      <c r="F233" s="75"/>
    </row>
    <row r="234" spans="1:6" x14ac:dyDescent="0.35">
      <c r="A234" s="5"/>
      <c r="B234"/>
      <c r="C234"/>
      <c r="D234"/>
      <c r="E234" s="76"/>
      <c r="F234" s="75"/>
    </row>
    <row r="235" spans="1:6" x14ac:dyDescent="0.35">
      <c r="A235" s="5"/>
      <c r="B235"/>
      <c r="C235"/>
      <c r="D235"/>
      <c r="E235" s="76"/>
      <c r="F235" s="75"/>
    </row>
    <row r="236" spans="1:6" x14ac:dyDescent="0.35">
      <c r="A236" s="5"/>
      <c r="B236"/>
      <c r="C236"/>
      <c r="D236"/>
      <c r="E236" s="76"/>
      <c r="F236" s="75"/>
    </row>
    <row r="237" spans="1:6" x14ac:dyDescent="0.35">
      <c r="A237" s="5"/>
      <c r="B237"/>
      <c r="C237"/>
      <c r="D237"/>
      <c r="E237" s="76"/>
      <c r="F237" s="75"/>
    </row>
    <row r="238" spans="1:6" x14ac:dyDescent="0.35">
      <c r="A238" s="5"/>
      <c r="B238"/>
      <c r="C238"/>
      <c r="D238"/>
      <c r="E238" s="76"/>
      <c r="F238" s="75"/>
    </row>
    <row r="239" spans="1:6" x14ac:dyDescent="0.35">
      <c r="A239" s="5"/>
      <c r="B239"/>
      <c r="C239"/>
      <c r="D239"/>
      <c r="E239" s="76"/>
      <c r="F239" s="75"/>
    </row>
    <row r="240" spans="1:6" x14ac:dyDescent="0.35">
      <c r="A240" s="5"/>
      <c r="B240"/>
      <c r="C240"/>
      <c r="D240"/>
      <c r="E240" s="76"/>
      <c r="F240" s="75"/>
    </row>
    <row r="241" spans="1:6" x14ac:dyDescent="0.35">
      <c r="A241" s="5"/>
      <c r="B241"/>
      <c r="C241"/>
      <c r="D241"/>
      <c r="E241" s="76"/>
      <c r="F241" s="75"/>
    </row>
    <row r="242" spans="1:6" x14ac:dyDescent="0.35">
      <c r="A242" s="5"/>
      <c r="B242"/>
      <c r="C242"/>
      <c r="D242"/>
      <c r="E242" s="76"/>
      <c r="F242" s="75"/>
    </row>
    <row r="243" spans="1:6" x14ac:dyDescent="0.35">
      <c r="A243" s="5"/>
      <c r="B243"/>
      <c r="C243"/>
      <c r="D243"/>
      <c r="E243" s="76"/>
      <c r="F243" s="75"/>
    </row>
    <row r="244" spans="1:6" x14ac:dyDescent="0.35">
      <c r="A244" s="5"/>
      <c r="B244"/>
      <c r="C244"/>
      <c r="D244"/>
      <c r="E244" s="76"/>
      <c r="F244" s="75"/>
    </row>
    <row r="245" spans="1:6" x14ac:dyDescent="0.35">
      <c r="A245" s="5"/>
      <c r="B245"/>
      <c r="C245"/>
      <c r="D245"/>
      <c r="E245" s="76"/>
      <c r="F245" s="75"/>
    </row>
    <row r="246" spans="1:6" x14ac:dyDescent="0.35">
      <c r="A246" s="5"/>
      <c r="B246"/>
      <c r="C246"/>
      <c r="D246"/>
      <c r="E246" s="76"/>
      <c r="F246" s="75"/>
    </row>
    <row r="247" spans="1:6" x14ac:dyDescent="0.35">
      <c r="A247" s="5"/>
      <c r="B247"/>
      <c r="C247"/>
      <c r="D247"/>
      <c r="E247" s="76"/>
      <c r="F247" s="75"/>
    </row>
    <row r="248" spans="1:6" x14ac:dyDescent="0.35">
      <c r="A248" s="5"/>
      <c r="B248"/>
      <c r="C248"/>
      <c r="D248"/>
      <c r="E248" s="76"/>
      <c r="F248" s="75"/>
    </row>
    <row r="249" spans="1:6" x14ac:dyDescent="0.35">
      <c r="A249" s="5"/>
      <c r="B249"/>
      <c r="C249"/>
      <c r="D249"/>
      <c r="E249" s="76"/>
      <c r="F249" s="75"/>
    </row>
    <row r="250" spans="1:6" x14ac:dyDescent="0.35">
      <c r="A250" s="5"/>
      <c r="B250"/>
      <c r="C250"/>
      <c r="D250"/>
      <c r="E250" s="76"/>
      <c r="F250" s="75"/>
    </row>
    <row r="251" spans="1:6" x14ac:dyDescent="0.35">
      <c r="A251" s="5"/>
      <c r="B251"/>
      <c r="C251"/>
      <c r="D251"/>
      <c r="E251" s="76"/>
      <c r="F251" s="75"/>
    </row>
    <row r="252" spans="1:6" x14ac:dyDescent="0.35">
      <c r="A252" s="5"/>
      <c r="B252"/>
      <c r="C252"/>
      <c r="D252"/>
      <c r="E252" s="76"/>
      <c r="F252" s="75"/>
    </row>
    <row r="253" spans="1:6" x14ac:dyDescent="0.35">
      <c r="A253" s="5"/>
      <c r="B253"/>
      <c r="C253"/>
      <c r="D253"/>
      <c r="E253" s="76"/>
      <c r="F253" s="75"/>
    </row>
    <row r="254" spans="1:6" x14ac:dyDescent="0.35">
      <c r="A254" s="5"/>
      <c r="B254"/>
      <c r="C254"/>
      <c r="D254"/>
      <c r="E254" s="76"/>
      <c r="F254" s="75"/>
    </row>
    <row r="255" spans="1:6" x14ac:dyDescent="0.35">
      <c r="A255" s="5"/>
      <c r="B255"/>
      <c r="C255"/>
      <c r="D255"/>
      <c r="E255" s="76"/>
      <c r="F255" s="75"/>
    </row>
    <row r="256" spans="1:6" x14ac:dyDescent="0.35">
      <c r="A256" s="5"/>
      <c r="B256"/>
      <c r="C256"/>
      <c r="D256"/>
      <c r="E256" s="76"/>
      <c r="F256" s="75"/>
    </row>
    <row r="257" spans="1:6" x14ac:dyDescent="0.35">
      <c r="A257" s="5"/>
      <c r="B257"/>
      <c r="C257"/>
      <c r="D257"/>
      <c r="E257" s="76"/>
      <c r="F257" s="75"/>
    </row>
    <row r="258" spans="1:6" x14ac:dyDescent="0.35">
      <c r="A258" s="5"/>
      <c r="B258"/>
      <c r="C258"/>
      <c r="D258"/>
      <c r="E258" s="76"/>
      <c r="F258" s="75"/>
    </row>
    <row r="259" spans="1:6" x14ac:dyDescent="0.35">
      <c r="A259" s="5"/>
      <c r="B259"/>
      <c r="C259"/>
      <c r="D259"/>
      <c r="E259" s="76"/>
      <c r="F259" s="75"/>
    </row>
    <row r="260" spans="1:6" x14ac:dyDescent="0.35">
      <c r="A260" s="5"/>
      <c r="B260"/>
      <c r="C260"/>
      <c r="D260"/>
      <c r="E260" s="76"/>
      <c r="F260" s="75"/>
    </row>
    <row r="261" spans="1:6" x14ac:dyDescent="0.35">
      <c r="A261" s="5"/>
      <c r="B261"/>
      <c r="C261"/>
      <c r="D261"/>
      <c r="E261" s="76"/>
      <c r="F261" s="75"/>
    </row>
    <row r="262" spans="1:6" x14ac:dyDescent="0.35">
      <c r="A262" s="5"/>
      <c r="B262"/>
      <c r="C262"/>
      <c r="D262"/>
      <c r="E262" s="76"/>
      <c r="F262" s="75"/>
    </row>
    <row r="263" spans="1:6" x14ac:dyDescent="0.35">
      <c r="A263" s="5"/>
      <c r="B263"/>
      <c r="C263"/>
      <c r="D263"/>
      <c r="E263" s="76"/>
      <c r="F263" s="75"/>
    </row>
    <row r="264" spans="1:6" x14ac:dyDescent="0.35">
      <c r="A264" s="5"/>
      <c r="B264"/>
      <c r="C264"/>
      <c r="D264"/>
      <c r="E264" s="76"/>
      <c r="F264" s="75"/>
    </row>
    <row r="265" spans="1:6" x14ac:dyDescent="0.35">
      <c r="A265" s="5"/>
      <c r="B265"/>
      <c r="C265"/>
      <c r="D265"/>
      <c r="E265" s="76"/>
      <c r="F265" s="75"/>
    </row>
    <row r="266" spans="1:6" x14ac:dyDescent="0.35">
      <c r="A266" s="5"/>
      <c r="B266"/>
      <c r="C266"/>
      <c r="D266"/>
      <c r="E266" s="76"/>
      <c r="F266" s="75"/>
    </row>
    <row r="267" spans="1:6" x14ac:dyDescent="0.35">
      <c r="A267" s="5"/>
      <c r="B267"/>
      <c r="C267"/>
      <c r="D267"/>
      <c r="E267" s="76"/>
      <c r="F267" s="75"/>
    </row>
    <row r="268" spans="1:6" x14ac:dyDescent="0.35">
      <c r="A268" s="5"/>
      <c r="B268"/>
      <c r="C268"/>
      <c r="D268"/>
      <c r="E268" s="76"/>
      <c r="F268" s="75"/>
    </row>
    <row r="269" spans="1:6" x14ac:dyDescent="0.35">
      <c r="A269" s="5"/>
      <c r="B269"/>
      <c r="C269"/>
      <c r="D269"/>
      <c r="E269" s="76"/>
      <c r="F269" s="75"/>
    </row>
    <row r="270" spans="1:6" x14ac:dyDescent="0.35">
      <c r="A270" s="5"/>
      <c r="B270"/>
      <c r="C270"/>
      <c r="D270"/>
      <c r="E270" s="76"/>
      <c r="F270" s="75"/>
    </row>
    <row r="271" spans="1:6" x14ac:dyDescent="0.35">
      <c r="A271" s="5"/>
      <c r="B271"/>
      <c r="C271"/>
      <c r="D271"/>
      <c r="E271" s="76"/>
      <c r="F271" s="75"/>
    </row>
    <row r="272" spans="1:6" x14ac:dyDescent="0.35">
      <c r="A272" s="5"/>
      <c r="B272"/>
      <c r="C272"/>
      <c r="D272"/>
      <c r="E272" s="76"/>
      <c r="F272" s="75"/>
    </row>
    <row r="273" spans="1:6" x14ac:dyDescent="0.35">
      <c r="A273" s="5"/>
      <c r="B273"/>
      <c r="C273"/>
      <c r="D273"/>
      <c r="E273" s="76"/>
      <c r="F273" s="75"/>
    </row>
    <row r="274" spans="1:6" x14ac:dyDescent="0.35">
      <c r="A274" s="5"/>
      <c r="B274"/>
      <c r="C274"/>
      <c r="D274"/>
      <c r="E274" s="76"/>
      <c r="F274" s="75"/>
    </row>
    <row r="275" spans="1:6" x14ac:dyDescent="0.35">
      <c r="A275" s="5"/>
      <c r="B275"/>
      <c r="C275"/>
      <c r="D275"/>
      <c r="E275" s="76"/>
      <c r="F275" s="75"/>
    </row>
    <row r="276" spans="1:6" x14ac:dyDescent="0.35">
      <c r="A276" s="5"/>
      <c r="B276"/>
      <c r="C276"/>
      <c r="D276"/>
      <c r="E276" s="76"/>
      <c r="F276" s="75"/>
    </row>
    <row r="277" spans="1:6" x14ac:dyDescent="0.35">
      <c r="A277" s="5"/>
      <c r="B277"/>
      <c r="C277"/>
      <c r="D277"/>
      <c r="E277" s="76"/>
      <c r="F277" s="75"/>
    </row>
    <row r="278" spans="1:6" x14ac:dyDescent="0.35">
      <c r="A278" s="5"/>
      <c r="B278"/>
      <c r="C278"/>
      <c r="D278"/>
      <c r="E278" s="76"/>
      <c r="F278" s="75"/>
    </row>
    <row r="279" spans="1:6" x14ac:dyDescent="0.35">
      <c r="A279" s="5"/>
      <c r="B279"/>
      <c r="C279"/>
      <c r="D279"/>
      <c r="E279" s="76"/>
      <c r="F279" s="75"/>
    </row>
    <row r="280" spans="1:6" x14ac:dyDescent="0.35">
      <c r="A280" s="5"/>
      <c r="B280"/>
      <c r="C280"/>
      <c r="D280"/>
      <c r="E280" s="76"/>
      <c r="F280" s="75"/>
    </row>
    <row r="281" spans="1:6" x14ac:dyDescent="0.35">
      <c r="A281" s="5"/>
      <c r="B281"/>
      <c r="C281"/>
      <c r="D281"/>
      <c r="E281" s="76"/>
      <c r="F281" s="75"/>
    </row>
    <row r="282" spans="1:6" x14ac:dyDescent="0.35">
      <c r="A282" s="5"/>
      <c r="B282"/>
      <c r="C282"/>
      <c r="D282"/>
      <c r="E282" s="76"/>
      <c r="F282" s="75"/>
    </row>
    <row r="283" spans="1:6" x14ac:dyDescent="0.35">
      <c r="A283" s="5"/>
      <c r="B283"/>
      <c r="C283"/>
      <c r="D283"/>
      <c r="E283" s="76"/>
      <c r="F283" s="75"/>
    </row>
    <row r="284" spans="1:6" x14ac:dyDescent="0.35">
      <c r="A284" s="5"/>
      <c r="B284"/>
      <c r="C284"/>
      <c r="D284"/>
      <c r="E284" s="76"/>
      <c r="F284" s="75"/>
    </row>
    <row r="285" spans="1:6" x14ac:dyDescent="0.35">
      <c r="A285" s="5"/>
      <c r="B285"/>
      <c r="C285"/>
      <c r="D285"/>
      <c r="E285" s="76"/>
      <c r="F285" s="75"/>
    </row>
    <row r="286" spans="1:6" x14ac:dyDescent="0.35">
      <c r="A286" s="5"/>
      <c r="B286"/>
      <c r="C286"/>
      <c r="D286"/>
      <c r="E286" s="76"/>
      <c r="F286" s="75"/>
    </row>
    <row r="287" spans="1:6" x14ac:dyDescent="0.35">
      <c r="A287" s="5"/>
      <c r="B287"/>
      <c r="C287"/>
      <c r="D287"/>
      <c r="E287" s="76"/>
      <c r="F287" s="75"/>
    </row>
    <row r="288" spans="1:6" x14ac:dyDescent="0.35">
      <c r="A288" s="5"/>
      <c r="B288"/>
      <c r="C288"/>
      <c r="D288"/>
      <c r="E288" s="76"/>
      <c r="F288" s="75"/>
    </row>
    <row r="289" spans="1:22" x14ac:dyDescent="0.35">
      <c r="A289" s="5"/>
      <c r="B289"/>
      <c r="C289"/>
      <c r="D289"/>
      <c r="E289" s="76"/>
      <c r="F289" s="75"/>
    </row>
    <row r="290" spans="1:22" x14ac:dyDescent="0.35">
      <c r="A290" s="5"/>
      <c r="B290"/>
      <c r="C290"/>
      <c r="D290"/>
      <c r="E290" s="76"/>
      <c r="F290" s="75"/>
    </row>
    <row r="291" spans="1:22" x14ac:dyDescent="0.35">
      <c r="A291" s="5"/>
      <c r="B291"/>
      <c r="C291"/>
      <c r="D291"/>
      <c r="E291" s="76"/>
      <c r="F291" s="75"/>
    </row>
    <row r="292" spans="1:22" x14ac:dyDescent="0.35">
      <c r="A292" s="5"/>
      <c r="B292"/>
      <c r="C292"/>
      <c r="D292"/>
      <c r="E292" s="76"/>
      <c r="F292" s="75"/>
    </row>
    <row r="293" spans="1:22" x14ac:dyDescent="0.35">
      <c r="A293" s="5"/>
      <c r="B293"/>
      <c r="C293"/>
      <c r="D293"/>
      <c r="E293" s="76"/>
      <c r="F293" s="75"/>
    </row>
    <row r="294" spans="1:22" x14ac:dyDescent="0.35">
      <c r="A294" s="5"/>
      <c r="B294"/>
      <c r="C294"/>
      <c r="D294"/>
      <c r="E294" s="76"/>
      <c r="F294" s="75"/>
    </row>
    <row r="295" spans="1:22" x14ac:dyDescent="0.35">
      <c r="A295" s="5"/>
      <c r="B295"/>
      <c r="C295"/>
      <c r="D295"/>
      <c r="E295" s="76"/>
      <c r="F295" s="75"/>
    </row>
    <row r="296" spans="1:22" x14ac:dyDescent="0.35">
      <c r="A296" s="5"/>
      <c r="B296"/>
      <c r="C296"/>
      <c r="D296"/>
      <c r="E296" s="76"/>
      <c r="F296" s="75"/>
    </row>
    <row r="297" spans="1:22" x14ac:dyDescent="0.35">
      <c r="A297" s="5"/>
      <c r="B297"/>
      <c r="C297"/>
      <c r="D297"/>
      <c r="E297" s="76"/>
      <c r="F297" s="75"/>
    </row>
    <row r="298" spans="1:22" x14ac:dyDescent="0.35">
      <c r="A298" s="5"/>
      <c r="B298"/>
      <c r="C298"/>
      <c r="D298"/>
      <c r="E298" s="76"/>
      <c r="F298" s="75"/>
    </row>
    <row r="299" spans="1:22" x14ac:dyDescent="0.35">
      <c r="A299" s="5"/>
      <c r="B299"/>
      <c r="C299"/>
      <c r="D299"/>
      <c r="E299" s="76"/>
      <c r="F299" s="75"/>
    </row>
    <row r="300" spans="1:22" x14ac:dyDescent="0.35">
      <c r="A300" s="5"/>
      <c r="B300"/>
      <c r="C300"/>
      <c r="D300"/>
      <c r="E300" s="76"/>
      <c r="F300" s="75"/>
    </row>
    <row r="301" spans="1:22" x14ac:dyDescent="0.35">
      <c r="A301" s="5"/>
      <c r="B301"/>
      <c r="C301"/>
      <c r="D301"/>
      <c r="E301" s="76"/>
      <c r="F301" s="75"/>
    </row>
    <row r="302" spans="1:22" x14ac:dyDescent="0.35">
      <c r="A302" s="5"/>
      <c r="B302"/>
      <c r="C302"/>
      <c r="D302"/>
      <c r="E302" s="76"/>
      <c r="F302" s="75"/>
    </row>
    <row r="303" spans="1:22" x14ac:dyDescent="0.35">
      <c r="A303" s="5"/>
      <c r="B303"/>
      <c r="C303"/>
      <c r="D303"/>
      <c r="E303" s="76"/>
      <c r="F303" s="75"/>
    </row>
    <row r="304" spans="1:22" x14ac:dyDescent="0.35">
      <c r="B304"/>
      <c r="C304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</row>
    <row r="305" spans="2:3" s="6" customFormat="1" x14ac:dyDescent="0.35">
      <c r="B305"/>
      <c r="C305"/>
    </row>
    <row r="306" spans="2:3" s="6" customFormat="1" x14ac:dyDescent="0.35">
      <c r="B306"/>
      <c r="C306"/>
    </row>
    <row r="307" spans="2:3" s="6" customFormat="1" x14ac:dyDescent="0.35">
      <c r="B307"/>
      <c r="C307"/>
    </row>
    <row r="308" spans="2:3" s="6" customFormat="1" x14ac:dyDescent="0.35">
      <c r="B308"/>
      <c r="C308"/>
    </row>
    <row r="309" spans="2:3" s="6" customFormat="1" x14ac:dyDescent="0.35">
      <c r="B309"/>
      <c r="C309"/>
    </row>
    <row r="310" spans="2:3" s="6" customFormat="1" x14ac:dyDescent="0.35">
      <c r="B310"/>
      <c r="C310"/>
    </row>
    <row r="311" spans="2:3" s="6" customFormat="1" x14ac:dyDescent="0.35">
      <c r="B311"/>
      <c r="C311"/>
    </row>
    <row r="312" spans="2:3" s="6" customFormat="1" x14ac:dyDescent="0.35">
      <c r="B312"/>
      <c r="C312"/>
    </row>
    <row r="313" spans="2:3" s="6" customFormat="1" x14ac:dyDescent="0.35">
      <c r="B313"/>
      <c r="C313"/>
    </row>
    <row r="314" spans="2:3" s="6" customFormat="1" x14ac:dyDescent="0.35">
      <c r="B314"/>
      <c r="C314"/>
    </row>
    <row r="315" spans="2:3" s="6" customFormat="1" x14ac:dyDescent="0.35">
      <c r="B315"/>
      <c r="C315"/>
    </row>
    <row r="316" spans="2:3" s="6" customFormat="1" x14ac:dyDescent="0.35">
      <c r="B316"/>
      <c r="C316"/>
    </row>
    <row r="317" spans="2:3" s="6" customFormat="1" x14ac:dyDescent="0.35">
      <c r="B317"/>
      <c r="C317"/>
    </row>
    <row r="318" spans="2:3" s="6" customFormat="1" x14ac:dyDescent="0.35">
      <c r="B318"/>
      <c r="C318"/>
    </row>
    <row r="319" spans="2:3" s="6" customFormat="1" x14ac:dyDescent="0.35">
      <c r="B319"/>
      <c r="C319"/>
    </row>
    <row r="320" spans="2:3" s="6" customFormat="1" x14ac:dyDescent="0.35">
      <c r="B320"/>
      <c r="C320"/>
    </row>
    <row r="321" spans="2:3" s="6" customFormat="1" x14ac:dyDescent="0.35">
      <c r="B321"/>
      <c r="C321"/>
    </row>
    <row r="322" spans="2:3" s="6" customFormat="1" x14ac:dyDescent="0.35">
      <c r="B322"/>
      <c r="C322"/>
    </row>
    <row r="323" spans="2:3" s="6" customFormat="1" x14ac:dyDescent="0.35">
      <c r="B323"/>
      <c r="C323"/>
    </row>
    <row r="324" spans="2:3" s="6" customFormat="1" x14ac:dyDescent="0.35">
      <c r="B324"/>
      <c r="C324"/>
    </row>
    <row r="325" spans="2:3" s="6" customFormat="1" x14ac:dyDescent="0.35">
      <c r="B325"/>
      <c r="C325"/>
    </row>
    <row r="326" spans="2:3" s="6" customFormat="1" x14ac:dyDescent="0.35">
      <c r="B326"/>
      <c r="C326"/>
    </row>
    <row r="327" spans="2:3" s="6" customFormat="1" x14ac:dyDescent="0.35">
      <c r="B327"/>
      <c r="C327"/>
    </row>
    <row r="328" spans="2:3" s="6" customFormat="1" x14ac:dyDescent="0.35">
      <c r="B328"/>
      <c r="C328"/>
    </row>
    <row r="329" spans="2:3" s="6" customFormat="1" x14ac:dyDescent="0.35">
      <c r="B329"/>
      <c r="C329"/>
    </row>
    <row r="330" spans="2:3" s="6" customFormat="1" x14ac:dyDescent="0.35">
      <c r="B330"/>
      <c r="C330"/>
    </row>
    <row r="331" spans="2:3" s="6" customFormat="1" x14ac:dyDescent="0.35">
      <c r="B331"/>
      <c r="C331"/>
    </row>
    <row r="332" spans="2:3" s="6" customFormat="1" x14ac:dyDescent="0.35">
      <c r="B332"/>
      <c r="C332"/>
    </row>
    <row r="333" spans="2:3" s="6" customFormat="1" x14ac:dyDescent="0.35">
      <c r="B333"/>
      <c r="C333"/>
    </row>
    <row r="334" spans="2:3" s="6" customFormat="1" x14ac:dyDescent="0.35">
      <c r="B334"/>
      <c r="C334"/>
    </row>
    <row r="335" spans="2:3" s="6" customFormat="1" x14ac:dyDescent="0.35">
      <c r="B335"/>
      <c r="C335"/>
    </row>
    <row r="336" spans="2:3" s="6" customFormat="1" x14ac:dyDescent="0.35">
      <c r="B336"/>
      <c r="C336"/>
    </row>
    <row r="337" spans="2:3" s="6" customFormat="1" x14ac:dyDescent="0.35">
      <c r="B337"/>
      <c r="C337"/>
    </row>
    <row r="338" spans="2:3" s="6" customFormat="1" x14ac:dyDescent="0.35">
      <c r="B338"/>
      <c r="C338"/>
    </row>
    <row r="339" spans="2:3" s="6" customFormat="1" x14ac:dyDescent="0.35">
      <c r="B339"/>
      <c r="C339"/>
    </row>
    <row r="340" spans="2:3" s="6" customFormat="1" x14ac:dyDescent="0.35">
      <c r="B340"/>
      <c r="C340"/>
    </row>
    <row r="341" spans="2:3" s="6" customFormat="1" x14ac:dyDescent="0.35">
      <c r="B341"/>
      <c r="C341"/>
    </row>
    <row r="342" spans="2:3" s="6" customFormat="1" x14ac:dyDescent="0.35">
      <c r="B342"/>
      <c r="C342"/>
    </row>
    <row r="343" spans="2:3" s="6" customFormat="1" x14ac:dyDescent="0.35">
      <c r="B343"/>
      <c r="C343"/>
    </row>
    <row r="344" spans="2:3" s="6" customFormat="1" x14ac:dyDescent="0.35">
      <c r="B344"/>
      <c r="C344"/>
    </row>
    <row r="345" spans="2:3" s="6" customFormat="1" x14ac:dyDescent="0.35">
      <c r="B345"/>
      <c r="C345"/>
    </row>
    <row r="346" spans="2:3" s="6" customFormat="1" x14ac:dyDescent="0.35">
      <c r="B346"/>
      <c r="C346"/>
    </row>
    <row r="347" spans="2:3" s="6" customFormat="1" x14ac:dyDescent="0.35">
      <c r="B347"/>
      <c r="C347"/>
    </row>
    <row r="348" spans="2:3" s="6" customFormat="1" x14ac:dyDescent="0.35">
      <c r="B348"/>
      <c r="C348"/>
    </row>
    <row r="349" spans="2:3" s="6" customFormat="1" x14ac:dyDescent="0.35">
      <c r="B349"/>
      <c r="C349"/>
    </row>
    <row r="350" spans="2:3" s="6" customFormat="1" x14ac:dyDescent="0.35">
      <c r="B350"/>
      <c r="C350"/>
    </row>
    <row r="351" spans="2:3" s="6" customFormat="1" x14ac:dyDescent="0.35">
      <c r="B351"/>
      <c r="C351"/>
    </row>
    <row r="352" spans="2:3" s="6" customFormat="1" x14ac:dyDescent="0.35">
      <c r="B352"/>
      <c r="C352"/>
    </row>
    <row r="353" spans="2:3" s="6" customFormat="1" x14ac:dyDescent="0.35">
      <c r="B353"/>
      <c r="C353"/>
    </row>
    <row r="354" spans="2:3" s="6" customFormat="1" x14ac:dyDescent="0.35">
      <c r="B354"/>
      <c r="C354"/>
    </row>
    <row r="355" spans="2:3" s="6" customFormat="1" x14ac:dyDescent="0.35">
      <c r="B355"/>
      <c r="C355"/>
    </row>
    <row r="356" spans="2:3" s="6" customFormat="1" x14ac:dyDescent="0.35">
      <c r="B356"/>
      <c r="C356"/>
    </row>
    <row r="357" spans="2:3" s="6" customFormat="1" x14ac:dyDescent="0.35">
      <c r="B357"/>
      <c r="C357"/>
    </row>
    <row r="358" spans="2:3" s="6" customFormat="1" x14ac:dyDescent="0.35">
      <c r="B358"/>
      <c r="C358"/>
    </row>
    <row r="359" spans="2:3" s="6" customFormat="1" x14ac:dyDescent="0.35">
      <c r="B359"/>
      <c r="C359"/>
    </row>
    <row r="360" spans="2:3" s="6" customFormat="1" x14ac:dyDescent="0.35">
      <c r="B360"/>
      <c r="C360"/>
    </row>
    <row r="361" spans="2:3" s="6" customFormat="1" x14ac:dyDescent="0.35">
      <c r="B361"/>
      <c r="C361"/>
    </row>
    <row r="362" spans="2:3" s="6" customFormat="1" x14ac:dyDescent="0.35">
      <c r="B362"/>
      <c r="C362"/>
    </row>
    <row r="363" spans="2:3" s="6" customFormat="1" x14ac:dyDescent="0.35">
      <c r="B363"/>
      <c r="C363"/>
    </row>
    <row r="364" spans="2:3" s="6" customFormat="1" x14ac:dyDescent="0.35">
      <c r="B364"/>
      <c r="C364"/>
    </row>
    <row r="365" spans="2:3" s="6" customFormat="1" x14ac:dyDescent="0.35">
      <c r="B365"/>
      <c r="C365"/>
    </row>
    <row r="366" spans="2:3" s="6" customFormat="1" x14ac:dyDescent="0.35">
      <c r="B366"/>
      <c r="C366"/>
    </row>
    <row r="367" spans="2:3" s="6" customFormat="1" x14ac:dyDescent="0.35">
      <c r="B367"/>
      <c r="C367"/>
    </row>
    <row r="368" spans="2:3" s="6" customFormat="1" x14ac:dyDescent="0.35">
      <c r="B368"/>
      <c r="C368"/>
    </row>
    <row r="369" spans="2:3" s="6" customFormat="1" x14ac:dyDescent="0.35">
      <c r="B369"/>
      <c r="C369"/>
    </row>
    <row r="370" spans="2:3" s="6" customFormat="1" x14ac:dyDescent="0.35">
      <c r="B370"/>
      <c r="C370"/>
    </row>
    <row r="371" spans="2:3" s="6" customFormat="1" x14ac:dyDescent="0.35">
      <c r="B371"/>
      <c r="C371"/>
    </row>
    <row r="372" spans="2:3" s="6" customFormat="1" x14ac:dyDescent="0.35">
      <c r="B372"/>
      <c r="C372"/>
    </row>
    <row r="373" spans="2:3" s="6" customFormat="1" x14ac:dyDescent="0.35">
      <c r="B373"/>
      <c r="C373"/>
    </row>
    <row r="374" spans="2:3" s="6" customFormat="1" x14ac:dyDescent="0.35">
      <c r="B374"/>
      <c r="C374"/>
    </row>
    <row r="375" spans="2:3" s="6" customFormat="1" x14ac:dyDescent="0.35">
      <c r="B375"/>
      <c r="C375"/>
    </row>
    <row r="376" spans="2:3" s="6" customFormat="1" x14ac:dyDescent="0.35">
      <c r="B376"/>
      <c r="C376"/>
    </row>
    <row r="377" spans="2:3" s="6" customFormat="1" x14ac:dyDescent="0.35">
      <c r="B377"/>
      <c r="C377"/>
    </row>
    <row r="378" spans="2:3" s="6" customFormat="1" x14ac:dyDescent="0.35">
      <c r="B378"/>
      <c r="C378"/>
    </row>
    <row r="379" spans="2:3" s="6" customFormat="1" x14ac:dyDescent="0.35">
      <c r="B379"/>
      <c r="C379"/>
    </row>
    <row r="380" spans="2:3" s="6" customFormat="1" x14ac:dyDescent="0.35">
      <c r="B380"/>
      <c r="C380"/>
    </row>
    <row r="381" spans="2:3" s="6" customFormat="1" x14ac:dyDescent="0.35">
      <c r="B381"/>
      <c r="C381"/>
    </row>
    <row r="382" spans="2:3" s="6" customFormat="1" x14ac:dyDescent="0.35">
      <c r="B382"/>
      <c r="C382"/>
    </row>
    <row r="383" spans="2:3" s="6" customFormat="1" x14ac:dyDescent="0.35">
      <c r="B383"/>
      <c r="C383"/>
    </row>
    <row r="384" spans="2:3" s="6" customFormat="1" x14ac:dyDescent="0.35">
      <c r="B384"/>
      <c r="C384"/>
    </row>
    <row r="385" spans="2:3" s="6" customFormat="1" x14ac:dyDescent="0.35">
      <c r="B385"/>
      <c r="C385"/>
    </row>
    <row r="386" spans="2:3" s="6" customFormat="1" x14ac:dyDescent="0.35">
      <c r="B386"/>
      <c r="C386"/>
    </row>
    <row r="387" spans="2:3" s="6" customFormat="1" x14ac:dyDescent="0.35">
      <c r="B387"/>
      <c r="C387"/>
    </row>
    <row r="388" spans="2:3" s="6" customFormat="1" x14ac:dyDescent="0.35">
      <c r="B388"/>
      <c r="C388"/>
    </row>
    <row r="389" spans="2:3" s="6" customFormat="1" x14ac:dyDescent="0.35">
      <c r="B389"/>
      <c r="C389"/>
    </row>
    <row r="390" spans="2:3" s="6" customFormat="1" x14ac:dyDescent="0.35">
      <c r="B390"/>
      <c r="C390"/>
    </row>
    <row r="391" spans="2:3" s="6" customFormat="1" x14ac:dyDescent="0.35">
      <c r="B391"/>
      <c r="C391"/>
    </row>
    <row r="392" spans="2:3" s="6" customFormat="1" x14ac:dyDescent="0.35">
      <c r="B392"/>
      <c r="C392"/>
    </row>
    <row r="393" spans="2:3" s="6" customFormat="1" x14ac:dyDescent="0.35">
      <c r="B393"/>
      <c r="C393"/>
    </row>
    <row r="394" spans="2:3" s="6" customFormat="1" x14ac:dyDescent="0.35">
      <c r="B394"/>
      <c r="C394"/>
    </row>
    <row r="395" spans="2:3" s="6" customFormat="1" x14ac:dyDescent="0.35">
      <c r="B395"/>
      <c r="C395"/>
    </row>
    <row r="396" spans="2:3" s="6" customFormat="1" x14ac:dyDescent="0.35">
      <c r="B396"/>
      <c r="C396"/>
    </row>
    <row r="397" spans="2:3" s="6" customFormat="1" x14ac:dyDescent="0.35">
      <c r="B397"/>
      <c r="C397"/>
    </row>
    <row r="398" spans="2:3" s="6" customFormat="1" x14ac:dyDescent="0.35">
      <c r="B398"/>
      <c r="C398"/>
    </row>
    <row r="399" spans="2:3" s="6" customFormat="1" x14ac:dyDescent="0.35">
      <c r="B399"/>
      <c r="C399"/>
    </row>
    <row r="400" spans="2:3" s="6" customFormat="1" x14ac:dyDescent="0.35">
      <c r="B400"/>
      <c r="C400"/>
    </row>
    <row r="401" spans="2:3" s="6" customFormat="1" x14ac:dyDescent="0.35">
      <c r="B401"/>
      <c r="C401"/>
    </row>
    <row r="402" spans="2:3" s="6" customFormat="1" x14ac:dyDescent="0.35">
      <c r="B402"/>
      <c r="C402"/>
    </row>
    <row r="403" spans="2:3" s="6" customFormat="1" x14ac:dyDescent="0.35">
      <c r="B403"/>
      <c r="C403"/>
    </row>
    <row r="404" spans="2:3" s="6" customFormat="1" x14ac:dyDescent="0.35">
      <c r="B404"/>
      <c r="C404"/>
    </row>
    <row r="405" spans="2:3" s="6" customFormat="1" x14ac:dyDescent="0.35">
      <c r="B405"/>
      <c r="C405"/>
    </row>
    <row r="406" spans="2:3" s="6" customFormat="1" x14ac:dyDescent="0.35">
      <c r="B406"/>
      <c r="C406"/>
    </row>
    <row r="407" spans="2:3" s="6" customFormat="1" x14ac:dyDescent="0.35">
      <c r="B407"/>
      <c r="C407"/>
    </row>
    <row r="408" spans="2:3" s="6" customFormat="1" x14ac:dyDescent="0.35">
      <c r="B408"/>
      <c r="C408"/>
    </row>
    <row r="409" spans="2:3" s="6" customFormat="1" x14ac:dyDescent="0.35">
      <c r="B409"/>
      <c r="C409"/>
    </row>
    <row r="410" spans="2:3" s="6" customFormat="1" x14ac:dyDescent="0.35">
      <c r="B410"/>
      <c r="C410"/>
    </row>
    <row r="411" spans="2:3" s="6" customFormat="1" x14ac:dyDescent="0.35">
      <c r="B411"/>
      <c r="C411"/>
    </row>
    <row r="412" spans="2:3" s="6" customFormat="1" x14ac:dyDescent="0.35">
      <c r="B412"/>
      <c r="C412"/>
    </row>
    <row r="413" spans="2:3" s="6" customFormat="1" x14ac:dyDescent="0.35">
      <c r="B413"/>
      <c r="C413"/>
    </row>
    <row r="414" spans="2:3" s="6" customFormat="1" x14ac:dyDescent="0.35">
      <c r="B414"/>
      <c r="C414"/>
    </row>
    <row r="415" spans="2:3" s="6" customFormat="1" x14ac:dyDescent="0.35">
      <c r="B415"/>
      <c r="C415"/>
    </row>
    <row r="416" spans="2:3" s="6" customFormat="1" x14ac:dyDescent="0.35">
      <c r="B416"/>
      <c r="C416"/>
    </row>
    <row r="417" spans="2:3" s="6" customFormat="1" x14ac:dyDescent="0.35">
      <c r="B417"/>
      <c r="C417"/>
    </row>
    <row r="418" spans="2:3" s="6" customFormat="1" x14ac:dyDescent="0.35">
      <c r="B418"/>
      <c r="C418"/>
    </row>
    <row r="419" spans="2:3" s="6" customFormat="1" x14ac:dyDescent="0.35">
      <c r="B419"/>
      <c r="C419"/>
    </row>
    <row r="420" spans="2:3" s="6" customFormat="1" x14ac:dyDescent="0.35">
      <c r="B420"/>
      <c r="C420"/>
    </row>
    <row r="421" spans="2:3" s="6" customFormat="1" x14ac:dyDescent="0.35">
      <c r="B421"/>
      <c r="C421"/>
    </row>
    <row r="422" spans="2:3" s="6" customFormat="1" x14ac:dyDescent="0.35">
      <c r="B422"/>
      <c r="C422"/>
    </row>
    <row r="423" spans="2:3" s="6" customFormat="1" x14ac:dyDescent="0.35">
      <c r="B423"/>
      <c r="C423"/>
    </row>
    <row r="424" spans="2:3" s="6" customFormat="1" x14ac:dyDescent="0.35">
      <c r="B424"/>
      <c r="C424"/>
    </row>
    <row r="425" spans="2:3" s="6" customFormat="1" x14ac:dyDescent="0.35">
      <c r="B425"/>
      <c r="C425"/>
    </row>
    <row r="426" spans="2:3" s="6" customFormat="1" x14ac:dyDescent="0.35">
      <c r="B426"/>
      <c r="C426"/>
    </row>
    <row r="427" spans="2:3" s="6" customFormat="1" x14ac:dyDescent="0.35">
      <c r="B427"/>
      <c r="C427"/>
    </row>
    <row r="428" spans="2:3" s="6" customFormat="1" x14ac:dyDescent="0.35">
      <c r="B428"/>
      <c r="C428"/>
    </row>
    <row r="429" spans="2:3" s="6" customFormat="1" x14ac:dyDescent="0.35">
      <c r="B429"/>
      <c r="C429"/>
    </row>
    <row r="430" spans="2:3" s="6" customFormat="1" x14ac:dyDescent="0.35">
      <c r="B430"/>
      <c r="C430"/>
    </row>
    <row r="431" spans="2:3" s="6" customFormat="1" x14ac:dyDescent="0.35">
      <c r="B431"/>
      <c r="C431"/>
    </row>
    <row r="432" spans="2:3" s="6" customFormat="1" x14ac:dyDescent="0.35">
      <c r="B432"/>
      <c r="C432"/>
    </row>
    <row r="433" spans="2:3" s="6" customFormat="1" x14ac:dyDescent="0.35">
      <c r="B433"/>
      <c r="C433"/>
    </row>
    <row r="434" spans="2:3" s="6" customFormat="1" x14ac:dyDescent="0.35">
      <c r="B434"/>
      <c r="C434"/>
    </row>
    <row r="435" spans="2:3" s="6" customFormat="1" x14ac:dyDescent="0.35">
      <c r="B435"/>
      <c r="C435"/>
    </row>
    <row r="436" spans="2:3" s="6" customFormat="1" x14ac:dyDescent="0.35">
      <c r="B436"/>
      <c r="C436"/>
    </row>
    <row r="437" spans="2:3" s="6" customFormat="1" x14ac:dyDescent="0.35">
      <c r="B437"/>
      <c r="C437"/>
    </row>
    <row r="438" spans="2:3" s="6" customFormat="1" x14ac:dyDescent="0.35">
      <c r="B438"/>
      <c r="C438"/>
    </row>
    <row r="439" spans="2:3" s="6" customFormat="1" x14ac:dyDescent="0.35">
      <c r="B439"/>
      <c r="C439"/>
    </row>
    <row r="440" spans="2:3" s="6" customFormat="1" x14ac:dyDescent="0.35">
      <c r="B440"/>
      <c r="C440"/>
    </row>
    <row r="441" spans="2:3" s="6" customFormat="1" x14ac:dyDescent="0.35">
      <c r="B441"/>
      <c r="C441"/>
    </row>
    <row r="442" spans="2:3" s="6" customFormat="1" x14ac:dyDescent="0.35">
      <c r="B442"/>
      <c r="C442"/>
    </row>
    <row r="443" spans="2:3" s="6" customFormat="1" x14ac:dyDescent="0.35">
      <c r="B443"/>
      <c r="C443"/>
    </row>
    <row r="444" spans="2:3" s="6" customFormat="1" x14ac:dyDescent="0.35">
      <c r="B444"/>
      <c r="C444"/>
    </row>
    <row r="445" spans="2:3" s="6" customFormat="1" x14ac:dyDescent="0.35">
      <c r="B445"/>
      <c r="C445"/>
    </row>
    <row r="446" spans="2:3" s="6" customFormat="1" x14ac:dyDescent="0.35">
      <c r="B446"/>
      <c r="C446"/>
    </row>
    <row r="447" spans="2:3" s="6" customFormat="1" x14ac:dyDescent="0.35">
      <c r="B447"/>
      <c r="C447"/>
    </row>
    <row r="448" spans="2:3" s="6" customFormat="1" x14ac:dyDescent="0.35"/>
    <row r="449" s="6" customFormat="1" x14ac:dyDescent="0.35"/>
    <row r="450" s="6" customFormat="1" x14ac:dyDescent="0.35"/>
    <row r="451" s="6" customFormat="1" x14ac:dyDescent="0.35"/>
    <row r="452" s="6" customFormat="1" x14ac:dyDescent="0.35"/>
    <row r="453" s="6" customFormat="1" x14ac:dyDescent="0.35"/>
    <row r="454" s="6" customFormat="1" x14ac:dyDescent="0.35"/>
    <row r="455" s="6" customFormat="1" x14ac:dyDescent="0.35"/>
    <row r="456" s="6" customFormat="1" x14ac:dyDescent="0.35"/>
    <row r="457" s="6" customFormat="1" x14ac:dyDescent="0.35"/>
    <row r="458" s="6" customFormat="1" x14ac:dyDescent="0.35"/>
    <row r="459" s="6" customFormat="1" x14ac:dyDescent="0.35"/>
    <row r="460" s="6" customFormat="1" x14ac:dyDescent="0.35"/>
    <row r="461" s="6" customFormat="1" x14ac:dyDescent="0.35"/>
    <row r="462" s="6" customFormat="1" x14ac:dyDescent="0.35"/>
    <row r="463" s="6" customFormat="1" x14ac:dyDescent="0.35"/>
    <row r="464" s="6" customFormat="1" x14ac:dyDescent="0.35"/>
    <row r="465" s="6" customFormat="1" x14ac:dyDescent="0.35"/>
    <row r="466" s="6" customFormat="1" x14ac:dyDescent="0.35"/>
    <row r="467" s="6" customFormat="1" x14ac:dyDescent="0.35"/>
    <row r="468" s="6" customFormat="1" x14ac:dyDescent="0.35"/>
    <row r="469" s="6" customFormat="1" x14ac:dyDescent="0.35"/>
    <row r="470" s="6" customFormat="1" x14ac:dyDescent="0.35"/>
    <row r="471" s="6" customFormat="1" x14ac:dyDescent="0.35"/>
    <row r="472" s="6" customFormat="1" x14ac:dyDescent="0.35"/>
    <row r="473" s="6" customFormat="1" x14ac:dyDescent="0.35"/>
    <row r="474" s="6" customFormat="1" x14ac:dyDescent="0.35"/>
    <row r="475" s="6" customFormat="1" x14ac:dyDescent="0.35"/>
    <row r="476" s="6" customFormat="1" x14ac:dyDescent="0.35"/>
    <row r="477" s="6" customFormat="1" x14ac:dyDescent="0.35"/>
    <row r="478" s="6" customFormat="1" x14ac:dyDescent="0.35"/>
    <row r="479" s="6" customFormat="1" x14ac:dyDescent="0.35"/>
    <row r="480" s="6" customFormat="1" x14ac:dyDescent="0.35"/>
    <row r="481" s="6" customFormat="1" x14ac:dyDescent="0.35"/>
    <row r="482" s="6" customFormat="1" x14ac:dyDescent="0.35"/>
    <row r="483" s="6" customFormat="1" x14ac:dyDescent="0.35"/>
    <row r="484" s="6" customFormat="1" x14ac:dyDescent="0.35"/>
    <row r="485" s="6" customFormat="1" x14ac:dyDescent="0.35"/>
    <row r="486" s="6" customFormat="1" x14ac:dyDescent="0.35"/>
    <row r="487" s="6" customFormat="1" x14ac:dyDescent="0.35"/>
    <row r="488" s="6" customFormat="1" x14ac:dyDescent="0.35"/>
    <row r="489" s="6" customFormat="1" x14ac:dyDescent="0.35"/>
    <row r="490" s="6" customFormat="1" x14ac:dyDescent="0.35"/>
    <row r="491" s="6" customFormat="1" x14ac:dyDescent="0.35"/>
    <row r="492" s="6" customFormat="1" x14ac:dyDescent="0.35"/>
    <row r="493" s="6" customFormat="1" x14ac:dyDescent="0.35"/>
    <row r="494" s="6" customFormat="1" x14ac:dyDescent="0.35"/>
    <row r="495" s="6" customFormat="1" x14ac:dyDescent="0.35"/>
    <row r="496" s="6" customFormat="1" x14ac:dyDescent="0.35"/>
    <row r="497" s="6" customFormat="1" x14ac:dyDescent="0.35"/>
    <row r="498" s="6" customFormat="1" x14ac:dyDescent="0.35"/>
    <row r="499" s="6" customFormat="1" x14ac:dyDescent="0.35"/>
    <row r="500" s="6" customFormat="1" x14ac:dyDescent="0.35"/>
    <row r="501" s="6" customFormat="1" x14ac:dyDescent="0.35"/>
    <row r="502" s="6" customFormat="1" x14ac:dyDescent="0.35"/>
    <row r="503" s="6" customFormat="1" x14ac:dyDescent="0.35"/>
    <row r="504" s="6" customFormat="1" x14ac:dyDescent="0.35"/>
    <row r="505" s="6" customFormat="1" x14ac:dyDescent="0.35"/>
    <row r="506" s="6" customFormat="1" x14ac:dyDescent="0.35"/>
    <row r="507" s="6" customFormat="1" x14ac:dyDescent="0.35"/>
    <row r="508" s="6" customFormat="1" x14ac:dyDescent="0.35"/>
    <row r="509" s="6" customFormat="1" x14ac:dyDescent="0.35"/>
    <row r="510" s="6" customFormat="1" x14ac:dyDescent="0.35"/>
    <row r="511" s="6" customFormat="1" x14ac:dyDescent="0.35"/>
    <row r="512" s="6" customFormat="1" x14ac:dyDescent="0.35"/>
    <row r="513" s="6" customFormat="1" x14ac:dyDescent="0.35"/>
    <row r="514" s="6" customFormat="1" x14ac:dyDescent="0.35"/>
    <row r="515" s="6" customFormat="1" x14ac:dyDescent="0.35"/>
    <row r="516" s="6" customFormat="1" x14ac:dyDescent="0.35"/>
    <row r="517" s="6" customFormat="1" x14ac:dyDescent="0.35"/>
    <row r="518" s="6" customFormat="1" x14ac:dyDescent="0.35"/>
    <row r="519" s="6" customFormat="1" x14ac:dyDescent="0.35"/>
    <row r="520" s="6" customFormat="1" x14ac:dyDescent="0.35"/>
    <row r="521" s="6" customFormat="1" x14ac:dyDescent="0.35"/>
    <row r="522" s="6" customFormat="1" x14ac:dyDescent="0.35"/>
    <row r="523" s="6" customFormat="1" x14ac:dyDescent="0.35"/>
    <row r="524" s="6" customFormat="1" x14ac:dyDescent="0.35"/>
    <row r="525" s="6" customFormat="1" x14ac:dyDescent="0.35"/>
    <row r="526" s="6" customFormat="1" x14ac:dyDescent="0.35"/>
    <row r="527" s="6" customFormat="1" x14ac:dyDescent="0.35"/>
    <row r="528" s="6" customFormat="1" x14ac:dyDescent="0.35"/>
    <row r="529" s="6" customFormat="1" x14ac:dyDescent="0.35"/>
    <row r="530" s="6" customFormat="1" x14ac:dyDescent="0.35"/>
    <row r="531" s="6" customFormat="1" x14ac:dyDescent="0.35"/>
    <row r="532" s="6" customFormat="1" x14ac:dyDescent="0.35"/>
    <row r="533" s="6" customFormat="1" x14ac:dyDescent="0.35"/>
    <row r="534" s="6" customFormat="1" x14ac:dyDescent="0.35"/>
    <row r="535" s="6" customFormat="1" x14ac:dyDescent="0.35"/>
    <row r="536" s="6" customFormat="1" x14ac:dyDescent="0.35"/>
    <row r="537" s="6" customFormat="1" x14ac:dyDescent="0.35"/>
    <row r="538" s="6" customFormat="1" x14ac:dyDescent="0.35"/>
    <row r="539" s="6" customFormat="1" x14ac:dyDescent="0.35"/>
    <row r="540" s="6" customFormat="1" x14ac:dyDescent="0.35"/>
    <row r="541" s="6" customFormat="1" x14ac:dyDescent="0.35"/>
    <row r="542" s="6" customFormat="1" x14ac:dyDescent="0.35"/>
    <row r="543" s="6" customFormat="1" x14ac:dyDescent="0.35"/>
    <row r="544" s="6" customFormat="1" x14ac:dyDescent="0.35"/>
    <row r="545" spans="1:22" x14ac:dyDescent="0.35"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</row>
    <row r="546" spans="1:22" x14ac:dyDescent="0.35"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</row>
    <row r="547" spans="1:22" x14ac:dyDescent="0.35"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</row>
    <row r="548" spans="1:22" x14ac:dyDescent="0.35"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</row>
    <row r="549" spans="1:22" x14ac:dyDescent="0.35"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</row>
    <row r="550" spans="1:22" x14ac:dyDescent="0.35"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</row>
    <row r="551" spans="1:22" x14ac:dyDescent="0.35"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</row>
    <row r="552" spans="1:22" x14ac:dyDescent="0.35"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</row>
    <row r="553" spans="1:22" x14ac:dyDescent="0.35"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</row>
    <row r="554" spans="1:22" x14ac:dyDescent="0.35"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</row>
    <row r="555" spans="1:22" x14ac:dyDescent="0.35"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</row>
    <row r="556" spans="1:22" hidden="1" x14ac:dyDescent="0.35">
      <c r="B556" s="6"/>
      <c r="C556" s="6"/>
      <c r="D556" s="6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6"/>
      <c r="P556" s="6"/>
      <c r="Q556" s="6"/>
      <c r="R556" s="6"/>
      <c r="S556" s="6"/>
      <c r="T556" s="6"/>
      <c r="U556" s="6"/>
      <c r="V556" s="6"/>
    </row>
    <row r="557" spans="1:22" hidden="1" x14ac:dyDescent="0.35">
      <c r="A557" s="5"/>
      <c r="B557"/>
      <c r="C557"/>
      <c r="D557"/>
      <c r="E557" s="76"/>
      <c r="F557" s="75"/>
    </row>
    <row r="558" spans="1:22" hidden="1" x14ac:dyDescent="0.35">
      <c r="A558" s="5"/>
      <c r="B558"/>
      <c r="C558"/>
      <c r="D558"/>
      <c r="E558" s="76"/>
      <c r="F558" s="75"/>
    </row>
    <row r="559" spans="1:22" ht="15" hidden="1" thickBot="1" x14ac:dyDescent="0.4">
      <c r="A559" s="5"/>
      <c r="B559"/>
      <c r="C559"/>
      <c r="D559"/>
      <c r="E559" s="77"/>
      <c r="F559" s="78"/>
    </row>
    <row r="560" spans="1:22" hidden="1" x14ac:dyDescent="0.35">
      <c r="A560" s="5"/>
      <c r="B560"/>
    </row>
    <row r="561" spans="1:2" hidden="1" x14ac:dyDescent="0.35">
      <c r="A561" s="5"/>
      <c r="B561"/>
    </row>
    <row r="562" spans="1:2" hidden="1" x14ac:dyDescent="0.35">
      <c r="A562" s="5"/>
      <c r="B562"/>
    </row>
    <row r="563" spans="1:2" hidden="1" x14ac:dyDescent="0.35">
      <c r="A563" s="5"/>
      <c r="B563"/>
    </row>
    <row r="564" spans="1:2" hidden="1" x14ac:dyDescent="0.35">
      <c r="A564" s="5"/>
      <c r="B564"/>
    </row>
    <row r="565" spans="1:2" hidden="1" x14ac:dyDescent="0.35">
      <c r="A565" s="5"/>
      <c r="B565"/>
    </row>
    <row r="566" spans="1:2" hidden="1" x14ac:dyDescent="0.35">
      <c r="A566" s="5"/>
      <c r="B566"/>
    </row>
    <row r="567" spans="1:2" hidden="1" x14ac:dyDescent="0.35">
      <c r="A567" s="5"/>
      <c r="B567"/>
    </row>
    <row r="568" spans="1:2" hidden="1" x14ac:dyDescent="0.35">
      <c r="A568" s="5"/>
      <c r="B568"/>
    </row>
    <row r="569" spans="1:2" hidden="1" x14ac:dyDescent="0.35">
      <c r="A569" s="5"/>
      <c r="B569"/>
    </row>
    <row r="570" spans="1:2" hidden="1" x14ac:dyDescent="0.35">
      <c r="A570" s="5"/>
      <c r="B570"/>
    </row>
    <row r="571" spans="1:2" hidden="1" x14ac:dyDescent="0.35">
      <c r="A571" s="5"/>
      <c r="B571"/>
    </row>
    <row r="572" spans="1:2" hidden="1" x14ac:dyDescent="0.35">
      <c r="A572" s="5"/>
      <c r="B572"/>
    </row>
    <row r="573" spans="1:2" hidden="1" x14ac:dyDescent="0.35">
      <c r="A573" s="5"/>
      <c r="B573"/>
    </row>
    <row r="574" spans="1:2" hidden="1" x14ac:dyDescent="0.35">
      <c r="A574" s="5"/>
      <c r="B574"/>
    </row>
    <row r="575" spans="1:2" hidden="1" x14ac:dyDescent="0.35">
      <c r="A575" s="5"/>
      <c r="B575"/>
    </row>
    <row r="576" spans="1:2" hidden="1" x14ac:dyDescent="0.35">
      <c r="A576" s="5"/>
      <c r="B576"/>
    </row>
    <row r="577" spans="1:2" hidden="1" x14ac:dyDescent="0.35">
      <c r="A577" s="5"/>
      <c r="B577"/>
    </row>
    <row r="578" spans="1:2" hidden="1" x14ac:dyDescent="0.35">
      <c r="A578" s="5"/>
      <c r="B578"/>
    </row>
    <row r="579" spans="1:2" hidden="1" x14ac:dyDescent="0.35">
      <c r="A579" s="5"/>
      <c r="B579"/>
    </row>
    <row r="580" spans="1:2" hidden="1" x14ac:dyDescent="0.35">
      <c r="A580" s="5"/>
      <c r="B580"/>
    </row>
    <row r="581" spans="1:2" hidden="1" x14ac:dyDescent="0.35">
      <c r="A581" s="5"/>
      <c r="B581"/>
    </row>
    <row r="582" spans="1:2" hidden="1" x14ac:dyDescent="0.35">
      <c r="A582" s="5"/>
      <c r="B582"/>
    </row>
    <row r="583" spans="1:2" hidden="1" x14ac:dyDescent="0.35">
      <c r="A583" s="5"/>
      <c r="B583"/>
    </row>
    <row r="584" spans="1:2" hidden="1" x14ac:dyDescent="0.35">
      <c r="A584" s="5"/>
      <c r="B584"/>
    </row>
    <row r="585" spans="1:2" hidden="1" x14ac:dyDescent="0.35">
      <c r="A585" s="5"/>
      <c r="B585"/>
    </row>
    <row r="586" spans="1:2" hidden="1" x14ac:dyDescent="0.35">
      <c r="A586" s="5"/>
      <c r="B586"/>
    </row>
    <row r="587" spans="1:2" hidden="1" x14ac:dyDescent="0.35">
      <c r="A587" s="5"/>
      <c r="B587"/>
    </row>
    <row r="588" spans="1:2" hidden="1" x14ac:dyDescent="0.35">
      <c r="A588" s="5"/>
      <c r="B588"/>
    </row>
    <row r="589" spans="1:2" hidden="1" x14ac:dyDescent="0.35">
      <c r="A589" s="5"/>
      <c r="B589"/>
    </row>
    <row r="590" spans="1:2" hidden="1" x14ac:dyDescent="0.35">
      <c r="A590" s="5"/>
      <c r="B590"/>
    </row>
    <row r="591" spans="1:2" hidden="1" x14ac:dyDescent="0.35">
      <c r="A591" s="5"/>
      <c r="B591"/>
    </row>
    <row r="592" spans="1:2" hidden="1" x14ac:dyDescent="0.35">
      <c r="A592" s="5"/>
      <c r="B592"/>
    </row>
    <row r="593" spans="1:2" hidden="1" x14ac:dyDescent="0.35">
      <c r="A593" s="5"/>
      <c r="B593"/>
    </row>
    <row r="594" spans="1:2" hidden="1" x14ac:dyDescent="0.35">
      <c r="A594" s="5"/>
      <c r="B594"/>
    </row>
    <row r="595" spans="1:2" hidden="1" x14ac:dyDescent="0.35">
      <c r="A595" s="5"/>
      <c r="B595"/>
    </row>
    <row r="596" spans="1:2" hidden="1" x14ac:dyDescent="0.35">
      <c r="A596" s="5"/>
      <c r="B596"/>
    </row>
    <row r="597" spans="1:2" hidden="1" x14ac:dyDescent="0.35">
      <c r="A597" s="5"/>
      <c r="B597"/>
    </row>
    <row r="598" spans="1:2" hidden="1" x14ac:dyDescent="0.35">
      <c r="A598" s="5"/>
      <c r="B598"/>
    </row>
    <row r="599" spans="1:2" hidden="1" x14ac:dyDescent="0.35">
      <c r="A599" s="5"/>
      <c r="B599"/>
    </row>
    <row r="600" spans="1:2" hidden="1" x14ac:dyDescent="0.35">
      <c r="A600" s="5"/>
      <c r="B600"/>
    </row>
    <row r="601" spans="1:2" hidden="1" x14ac:dyDescent="0.35">
      <c r="A601" s="5"/>
      <c r="B601"/>
    </row>
    <row r="602" spans="1:2" hidden="1" x14ac:dyDescent="0.35">
      <c r="A602" s="5"/>
      <c r="B602"/>
    </row>
    <row r="603" spans="1:2" hidden="1" x14ac:dyDescent="0.35">
      <c r="A603" s="5"/>
      <c r="B603"/>
    </row>
    <row r="604" spans="1:2" hidden="1" x14ac:dyDescent="0.35">
      <c r="A604" s="5"/>
      <c r="B604"/>
    </row>
    <row r="605" spans="1:2" hidden="1" x14ac:dyDescent="0.35">
      <c r="A605" s="5"/>
      <c r="B605"/>
    </row>
    <row r="606" spans="1:2" hidden="1" x14ac:dyDescent="0.35">
      <c r="A606" s="5"/>
      <c r="B606"/>
    </row>
    <row r="607" spans="1:2" hidden="1" x14ac:dyDescent="0.35">
      <c r="A607" s="5"/>
      <c r="B607"/>
    </row>
    <row r="608" spans="1:2" hidden="1" x14ac:dyDescent="0.35">
      <c r="A608" s="5"/>
      <c r="B608"/>
    </row>
    <row r="609" spans="1:2" hidden="1" x14ac:dyDescent="0.35">
      <c r="A609" s="5"/>
      <c r="B609"/>
    </row>
    <row r="610" spans="1:2" hidden="1" x14ac:dyDescent="0.35">
      <c r="A610" s="5"/>
      <c r="B610"/>
    </row>
    <row r="611" spans="1:2" hidden="1" x14ac:dyDescent="0.35">
      <c r="A611" s="5"/>
      <c r="B611"/>
    </row>
    <row r="612" spans="1:2" hidden="1" x14ac:dyDescent="0.35">
      <c r="A612" s="5"/>
      <c r="B612"/>
    </row>
    <row r="613" spans="1:2" hidden="1" x14ac:dyDescent="0.35">
      <c r="A613" s="5"/>
      <c r="B613"/>
    </row>
    <row r="614" spans="1:2" hidden="1" x14ac:dyDescent="0.35">
      <c r="A614" s="5"/>
      <c r="B614"/>
    </row>
    <row r="615" spans="1:2" hidden="1" x14ac:dyDescent="0.35">
      <c r="A615" s="5"/>
      <c r="B615"/>
    </row>
    <row r="616" spans="1:2" hidden="1" x14ac:dyDescent="0.35">
      <c r="A616" s="5"/>
      <c r="B616"/>
    </row>
    <row r="617" spans="1:2" hidden="1" x14ac:dyDescent="0.35">
      <c r="A617" s="5"/>
      <c r="B617"/>
    </row>
    <row r="618" spans="1:2" hidden="1" x14ac:dyDescent="0.35">
      <c r="A618" s="5"/>
      <c r="B618"/>
    </row>
    <row r="619" spans="1:2" hidden="1" x14ac:dyDescent="0.35">
      <c r="A619" s="5"/>
      <c r="B619"/>
    </row>
    <row r="620" spans="1:2" hidden="1" x14ac:dyDescent="0.35">
      <c r="A620" s="5"/>
      <c r="B620"/>
    </row>
    <row r="621" spans="1:2" hidden="1" x14ac:dyDescent="0.35">
      <c r="A621" s="5"/>
      <c r="B621"/>
    </row>
    <row r="622" spans="1:2" hidden="1" x14ac:dyDescent="0.35">
      <c r="A622" s="5"/>
      <c r="B622"/>
    </row>
    <row r="623" spans="1:2" hidden="1" x14ac:dyDescent="0.35">
      <c r="A623" s="5"/>
      <c r="B623"/>
    </row>
    <row r="624" spans="1:2" hidden="1" x14ac:dyDescent="0.35">
      <c r="A624" s="5"/>
      <c r="B624"/>
    </row>
    <row r="625" spans="1:2" hidden="1" x14ac:dyDescent="0.35">
      <c r="A625" s="5"/>
      <c r="B625"/>
    </row>
    <row r="626" spans="1:2" hidden="1" x14ac:dyDescent="0.35">
      <c r="A626" s="5"/>
      <c r="B626"/>
    </row>
    <row r="627" spans="1:2" hidden="1" x14ac:dyDescent="0.35">
      <c r="A627" s="5"/>
      <c r="B627"/>
    </row>
    <row r="628" spans="1:2" hidden="1" x14ac:dyDescent="0.35">
      <c r="A628" s="5"/>
      <c r="B628"/>
    </row>
    <row r="629" spans="1:2" hidden="1" x14ac:dyDescent="0.35">
      <c r="A629" s="5"/>
      <c r="B629"/>
    </row>
    <row r="630" spans="1:2" hidden="1" x14ac:dyDescent="0.35">
      <c r="A630" s="5"/>
      <c r="B630"/>
    </row>
    <row r="631" spans="1:2" hidden="1" x14ac:dyDescent="0.35">
      <c r="A631" s="5"/>
      <c r="B631"/>
    </row>
    <row r="632" spans="1:2" hidden="1" x14ac:dyDescent="0.35">
      <c r="A632" s="5"/>
      <c r="B632"/>
    </row>
    <row r="633" spans="1:2" hidden="1" x14ac:dyDescent="0.35">
      <c r="A633" s="5"/>
      <c r="B633"/>
    </row>
    <row r="634" spans="1:2" hidden="1" x14ac:dyDescent="0.35">
      <c r="A634" s="5"/>
      <c r="B634"/>
    </row>
    <row r="635" spans="1:2" hidden="1" x14ac:dyDescent="0.35">
      <c r="A635" s="5"/>
      <c r="B635"/>
    </row>
    <row r="636" spans="1:2" hidden="1" x14ac:dyDescent="0.35">
      <c r="A636" s="5"/>
      <c r="B636"/>
    </row>
    <row r="637" spans="1:2" hidden="1" x14ac:dyDescent="0.35">
      <c r="A637" s="5"/>
      <c r="B637"/>
    </row>
    <row r="638" spans="1:2" hidden="1" x14ac:dyDescent="0.35">
      <c r="A638" s="5"/>
      <c r="B638"/>
    </row>
    <row r="639" spans="1:2" hidden="1" x14ac:dyDescent="0.35">
      <c r="A639" s="5"/>
      <c r="B639"/>
    </row>
    <row r="640" spans="1:2" hidden="1" x14ac:dyDescent="0.35">
      <c r="A640" s="5"/>
      <c r="B640"/>
    </row>
    <row r="641" spans="1:2" hidden="1" x14ac:dyDescent="0.35">
      <c r="A641" s="5"/>
      <c r="B641"/>
    </row>
    <row r="642" spans="1:2" hidden="1" x14ac:dyDescent="0.35">
      <c r="A642" s="5"/>
      <c r="B642"/>
    </row>
    <row r="643" spans="1:2" hidden="1" x14ac:dyDescent="0.35">
      <c r="A643" s="5"/>
      <c r="B643"/>
    </row>
    <row r="644" spans="1:2" hidden="1" x14ac:dyDescent="0.35">
      <c r="A644" s="5"/>
      <c r="B644"/>
    </row>
    <row r="645" spans="1:2" hidden="1" x14ac:dyDescent="0.35">
      <c r="A645" s="5"/>
      <c r="B645"/>
    </row>
    <row r="646" spans="1:2" hidden="1" x14ac:dyDescent="0.35">
      <c r="A646" s="5"/>
      <c r="B646"/>
    </row>
    <row r="647" spans="1:2" hidden="1" x14ac:dyDescent="0.35">
      <c r="A647" s="5"/>
      <c r="B647"/>
    </row>
    <row r="648" spans="1:2" hidden="1" x14ac:dyDescent="0.35">
      <c r="A648" s="5"/>
      <c r="B648"/>
    </row>
    <row r="649" spans="1:2" hidden="1" x14ac:dyDescent="0.35">
      <c r="A649" s="5"/>
      <c r="B649"/>
    </row>
    <row r="650" spans="1:2" hidden="1" x14ac:dyDescent="0.35">
      <c r="A650" s="5"/>
      <c r="B650"/>
    </row>
    <row r="651" spans="1:2" hidden="1" x14ac:dyDescent="0.35">
      <c r="A651" s="5"/>
      <c r="B651"/>
    </row>
    <row r="652" spans="1:2" hidden="1" x14ac:dyDescent="0.35">
      <c r="A652" s="5"/>
      <c r="B652"/>
    </row>
    <row r="653" spans="1:2" hidden="1" x14ac:dyDescent="0.35">
      <c r="A653" s="5"/>
      <c r="B653"/>
    </row>
    <row r="654" spans="1:2" hidden="1" x14ac:dyDescent="0.35">
      <c r="A654" s="5"/>
      <c r="B654"/>
    </row>
    <row r="655" spans="1:2" hidden="1" x14ac:dyDescent="0.35">
      <c r="A655" s="5"/>
      <c r="B655"/>
    </row>
    <row r="656" spans="1:2" hidden="1" x14ac:dyDescent="0.35">
      <c r="A656" s="5"/>
      <c r="B656"/>
    </row>
    <row r="657" spans="1:2" hidden="1" x14ac:dyDescent="0.35">
      <c r="A657" s="5"/>
      <c r="B657"/>
    </row>
    <row r="658" spans="1:2" hidden="1" x14ac:dyDescent="0.35">
      <c r="A658" s="5"/>
      <c r="B658"/>
    </row>
    <row r="659" spans="1:2" hidden="1" x14ac:dyDescent="0.35">
      <c r="A659" s="5"/>
      <c r="B659"/>
    </row>
    <row r="660" spans="1:2" hidden="1" x14ac:dyDescent="0.35">
      <c r="A660" s="5"/>
      <c r="B660"/>
    </row>
    <row r="661" spans="1:2" hidden="1" x14ac:dyDescent="0.35">
      <c r="A661" s="5"/>
      <c r="B661"/>
    </row>
    <row r="662" spans="1:2" hidden="1" x14ac:dyDescent="0.35">
      <c r="A662" s="5"/>
      <c r="B662"/>
    </row>
    <row r="663" spans="1:2" hidden="1" x14ac:dyDescent="0.35">
      <c r="A663" s="5"/>
      <c r="B663"/>
    </row>
    <row r="664" spans="1:2" hidden="1" x14ac:dyDescent="0.35">
      <c r="A664" s="5"/>
      <c r="B664"/>
    </row>
    <row r="665" spans="1:2" hidden="1" x14ac:dyDescent="0.35">
      <c r="A665" s="5"/>
      <c r="B665"/>
    </row>
    <row r="666" spans="1:2" hidden="1" x14ac:dyDescent="0.35">
      <c r="A666" s="5"/>
      <c r="B666"/>
    </row>
    <row r="667" spans="1:2" hidden="1" x14ac:dyDescent="0.35">
      <c r="A667" s="5"/>
      <c r="B667"/>
    </row>
    <row r="668" spans="1:2" hidden="1" x14ac:dyDescent="0.35">
      <c r="A668" s="5"/>
      <c r="B668"/>
    </row>
    <row r="669" spans="1:2" hidden="1" x14ac:dyDescent="0.35">
      <c r="A669" s="5"/>
      <c r="B669"/>
    </row>
    <row r="670" spans="1:2" hidden="1" x14ac:dyDescent="0.35">
      <c r="A670" s="5"/>
      <c r="B670"/>
    </row>
    <row r="671" spans="1:2" hidden="1" x14ac:dyDescent="0.35">
      <c r="A671" s="5"/>
      <c r="B671"/>
    </row>
    <row r="672" spans="1:2" hidden="1" x14ac:dyDescent="0.35">
      <c r="A672" s="5"/>
      <c r="B672"/>
    </row>
    <row r="673" spans="1:2" hidden="1" x14ac:dyDescent="0.35">
      <c r="A673" s="5"/>
      <c r="B673"/>
    </row>
    <row r="674" spans="1:2" hidden="1" x14ac:dyDescent="0.35">
      <c r="A674" s="5"/>
      <c r="B674"/>
    </row>
    <row r="675" spans="1:2" hidden="1" x14ac:dyDescent="0.35">
      <c r="A675" s="5"/>
      <c r="B675"/>
    </row>
    <row r="676" spans="1:2" hidden="1" x14ac:dyDescent="0.35">
      <c r="A676" s="5"/>
      <c r="B676"/>
    </row>
    <row r="677" spans="1:2" hidden="1" x14ac:dyDescent="0.35">
      <c r="A677" s="5"/>
      <c r="B677"/>
    </row>
    <row r="678" spans="1:2" hidden="1" x14ac:dyDescent="0.35">
      <c r="A678" s="5"/>
      <c r="B678"/>
    </row>
    <row r="679" spans="1:2" hidden="1" x14ac:dyDescent="0.35">
      <c r="A679" s="5"/>
      <c r="B679"/>
    </row>
    <row r="680" spans="1:2" hidden="1" x14ac:dyDescent="0.35">
      <c r="A680" s="5"/>
      <c r="B680"/>
    </row>
    <row r="681" spans="1:2" hidden="1" x14ac:dyDescent="0.35">
      <c r="A681" s="5"/>
      <c r="B681"/>
    </row>
    <row r="682" spans="1:2" hidden="1" x14ac:dyDescent="0.35">
      <c r="A682" s="5"/>
      <c r="B682"/>
    </row>
    <row r="683" spans="1:2" hidden="1" x14ac:dyDescent="0.35">
      <c r="A683" s="5"/>
      <c r="B683"/>
    </row>
    <row r="684" spans="1:2" hidden="1" x14ac:dyDescent="0.35">
      <c r="A684" s="5"/>
      <c r="B684"/>
    </row>
    <row r="685" spans="1:2" hidden="1" x14ac:dyDescent="0.35">
      <c r="A685" s="5"/>
      <c r="B685"/>
    </row>
    <row r="686" spans="1:2" hidden="1" x14ac:dyDescent="0.35">
      <c r="A686" s="5"/>
      <c r="B686"/>
    </row>
    <row r="687" spans="1:2" hidden="1" x14ac:dyDescent="0.35">
      <c r="A687" s="5"/>
      <c r="B687"/>
    </row>
    <row r="688" spans="1:2" hidden="1" x14ac:dyDescent="0.35">
      <c r="A688" s="5"/>
      <c r="B688"/>
    </row>
    <row r="689" spans="1:2" hidden="1" x14ac:dyDescent="0.35">
      <c r="A689" s="5"/>
      <c r="B689"/>
    </row>
    <row r="690" spans="1:2" hidden="1" x14ac:dyDescent="0.35">
      <c r="A690" s="5"/>
      <c r="B690"/>
    </row>
    <row r="691" spans="1:2" hidden="1" x14ac:dyDescent="0.35">
      <c r="A691" s="5"/>
      <c r="B691"/>
    </row>
    <row r="692" spans="1:2" hidden="1" x14ac:dyDescent="0.35">
      <c r="A692" s="5"/>
      <c r="B692"/>
    </row>
    <row r="693" spans="1:2" hidden="1" x14ac:dyDescent="0.35">
      <c r="A693" s="5"/>
      <c r="B693"/>
    </row>
    <row r="694" spans="1:2" hidden="1" x14ac:dyDescent="0.35">
      <c r="A694" s="5"/>
      <c r="B694"/>
    </row>
    <row r="695" spans="1:2" hidden="1" x14ac:dyDescent="0.35">
      <c r="A695" s="5"/>
      <c r="B695"/>
    </row>
    <row r="696" spans="1:2" hidden="1" x14ac:dyDescent="0.35">
      <c r="A696" s="5"/>
      <c r="B696"/>
    </row>
    <row r="697" spans="1:2" hidden="1" x14ac:dyDescent="0.35">
      <c r="A697" s="5"/>
      <c r="B697"/>
    </row>
    <row r="698" spans="1:2" hidden="1" x14ac:dyDescent="0.35">
      <c r="A698" s="5"/>
      <c r="B698"/>
    </row>
    <row r="699" spans="1:2" hidden="1" x14ac:dyDescent="0.35">
      <c r="A699" s="5"/>
      <c r="B699"/>
    </row>
    <row r="700" spans="1:2" hidden="1" x14ac:dyDescent="0.35">
      <c r="A700" s="5"/>
      <c r="B700"/>
    </row>
    <row r="701" spans="1:2" hidden="1" x14ac:dyDescent="0.35">
      <c r="A701" s="5"/>
      <c r="B701"/>
    </row>
    <row r="702" spans="1:2" hidden="1" x14ac:dyDescent="0.35">
      <c r="A702" s="5"/>
      <c r="B702"/>
    </row>
    <row r="703" spans="1:2" hidden="1" x14ac:dyDescent="0.35">
      <c r="A703" s="5"/>
      <c r="B703"/>
    </row>
    <row r="704" spans="1:2" hidden="1" x14ac:dyDescent="0.35">
      <c r="A704" s="5"/>
      <c r="B704"/>
    </row>
    <row r="705" spans="1:2" hidden="1" x14ac:dyDescent="0.35">
      <c r="A705" s="5"/>
      <c r="B705"/>
    </row>
    <row r="706" spans="1:2" hidden="1" x14ac:dyDescent="0.35">
      <c r="A706" s="5"/>
      <c r="B706"/>
    </row>
    <row r="707" spans="1:2" hidden="1" x14ac:dyDescent="0.35">
      <c r="A707" s="5"/>
      <c r="B707"/>
    </row>
    <row r="708" spans="1:2" hidden="1" x14ac:dyDescent="0.35">
      <c r="A708" s="5"/>
      <c r="B708"/>
    </row>
    <row r="709" spans="1:2" hidden="1" x14ac:dyDescent="0.35">
      <c r="A709" s="5"/>
      <c r="B709"/>
    </row>
    <row r="710" spans="1:2" hidden="1" x14ac:dyDescent="0.35">
      <c r="A710" s="5"/>
      <c r="B710"/>
    </row>
    <row r="711" spans="1:2" hidden="1" x14ac:dyDescent="0.35">
      <c r="A711" s="5"/>
      <c r="B711"/>
    </row>
    <row r="712" spans="1:2" hidden="1" x14ac:dyDescent="0.35">
      <c r="A712" s="5"/>
      <c r="B712"/>
    </row>
    <row r="713" spans="1:2" hidden="1" x14ac:dyDescent="0.35">
      <c r="A713" s="5"/>
      <c r="B713"/>
    </row>
    <row r="714" spans="1:2" hidden="1" x14ac:dyDescent="0.35">
      <c r="A714" s="5"/>
      <c r="B714"/>
    </row>
    <row r="715" spans="1:2" hidden="1" x14ac:dyDescent="0.35">
      <c r="A715" s="5"/>
      <c r="B715"/>
    </row>
    <row r="716" spans="1:2" hidden="1" x14ac:dyDescent="0.35">
      <c r="A716" s="5"/>
      <c r="B716"/>
    </row>
    <row r="717" spans="1:2" hidden="1" x14ac:dyDescent="0.35">
      <c r="A717" s="5"/>
      <c r="B717"/>
    </row>
    <row r="718" spans="1:2" hidden="1" x14ac:dyDescent="0.35">
      <c r="A718" s="5"/>
      <c r="B718"/>
    </row>
    <row r="719" spans="1:2" hidden="1" x14ac:dyDescent="0.35">
      <c r="A719" s="5"/>
      <c r="B719"/>
    </row>
    <row r="720" spans="1:2" hidden="1" x14ac:dyDescent="0.35">
      <c r="A720" s="5"/>
      <c r="B720"/>
    </row>
    <row r="721" spans="1:2" hidden="1" x14ac:dyDescent="0.35">
      <c r="A721" s="5"/>
      <c r="B721"/>
    </row>
    <row r="722" spans="1:2" hidden="1" x14ac:dyDescent="0.35">
      <c r="A722" s="5"/>
      <c r="B722"/>
    </row>
    <row r="723" spans="1:2" hidden="1" x14ac:dyDescent="0.35">
      <c r="A723" s="5"/>
      <c r="B723"/>
    </row>
    <row r="724" spans="1:2" hidden="1" x14ac:dyDescent="0.35">
      <c r="A724" s="5"/>
      <c r="B724"/>
    </row>
    <row r="725" spans="1:2" hidden="1" x14ac:dyDescent="0.35">
      <c r="A725" s="5"/>
      <c r="B725"/>
    </row>
    <row r="726" spans="1:2" hidden="1" x14ac:dyDescent="0.35">
      <c r="A726" s="5"/>
      <c r="B726"/>
    </row>
    <row r="727" spans="1:2" hidden="1" x14ac:dyDescent="0.35">
      <c r="A727" s="5"/>
      <c r="B727"/>
    </row>
    <row r="728" spans="1:2" hidden="1" x14ac:dyDescent="0.35">
      <c r="A728" s="5"/>
      <c r="B728"/>
    </row>
    <row r="729" spans="1:2" hidden="1" x14ac:dyDescent="0.35">
      <c r="A729" s="5"/>
      <c r="B729"/>
    </row>
    <row r="730" spans="1:2" hidden="1" x14ac:dyDescent="0.35">
      <c r="A730" s="5"/>
      <c r="B730"/>
    </row>
    <row r="731" spans="1:2" hidden="1" x14ac:dyDescent="0.35">
      <c r="A731" s="5"/>
      <c r="B731"/>
    </row>
    <row r="732" spans="1:2" hidden="1" x14ac:dyDescent="0.35">
      <c r="A732" s="5"/>
      <c r="B732"/>
    </row>
    <row r="733" spans="1:2" hidden="1" x14ac:dyDescent="0.35">
      <c r="A733" s="5"/>
      <c r="B733"/>
    </row>
    <row r="734" spans="1:2" hidden="1" x14ac:dyDescent="0.35">
      <c r="A734" s="5"/>
      <c r="B734"/>
    </row>
    <row r="735" spans="1:2" hidden="1" x14ac:dyDescent="0.35">
      <c r="A735" s="5"/>
      <c r="B735"/>
    </row>
    <row r="736" spans="1:2" hidden="1" x14ac:dyDescent="0.35">
      <c r="A736" s="5"/>
      <c r="B736"/>
    </row>
    <row r="737" spans="1:2" hidden="1" x14ac:dyDescent="0.35">
      <c r="A737" s="5"/>
      <c r="B737"/>
    </row>
    <row r="738" spans="1:2" hidden="1" x14ac:dyDescent="0.35">
      <c r="A738" s="5"/>
      <c r="B738"/>
    </row>
    <row r="739" spans="1:2" hidden="1" x14ac:dyDescent="0.35">
      <c r="A739" s="5"/>
      <c r="B739"/>
    </row>
    <row r="740" spans="1:2" hidden="1" x14ac:dyDescent="0.35">
      <c r="A740" s="5"/>
      <c r="B740"/>
    </row>
    <row r="741" spans="1:2" hidden="1" x14ac:dyDescent="0.35">
      <c r="A741" s="5"/>
      <c r="B741"/>
    </row>
    <row r="742" spans="1:2" hidden="1" x14ac:dyDescent="0.35">
      <c r="A742" s="5"/>
      <c r="B742"/>
    </row>
    <row r="743" spans="1:2" hidden="1" x14ac:dyDescent="0.35">
      <c r="A743" s="5"/>
      <c r="B743"/>
    </row>
    <row r="744" spans="1:2" hidden="1" x14ac:dyDescent="0.35">
      <c r="A744" s="5"/>
      <c r="B744"/>
    </row>
    <row r="745" spans="1:2" hidden="1" x14ac:dyDescent="0.35">
      <c r="A745" s="5"/>
      <c r="B745"/>
    </row>
    <row r="746" spans="1:2" hidden="1" x14ac:dyDescent="0.35">
      <c r="A746" s="5"/>
      <c r="B746"/>
    </row>
    <row r="747" spans="1:2" hidden="1" x14ac:dyDescent="0.35">
      <c r="A747" s="5"/>
      <c r="B747"/>
    </row>
    <row r="748" spans="1:2" hidden="1" x14ac:dyDescent="0.35">
      <c r="A748" s="5"/>
      <c r="B748"/>
    </row>
    <row r="749" spans="1:2" hidden="1" x14ac:dyDescent="0.35">
      <c r="A749" s="5"/>
      <c r="B749"/>
    </row>
    <row r="750" spans="1:2" hidden="1" x14ac:dyDescent="0.35">
      <c r="A750" s="5"/>
      <c r="B750"/>
    </row>
    <row r="751" spans="1:2" hidden="1" x14ac:dyDescent="0.35">
      <c r="A751" s="5"/>
      <c r="B751"/>
    </row>
    <row r="752" spans="1:2" hidden="1" x14ac:dyDescent="0.35">
      <c r="A752" s="5"/>
      <c r="B752"/>
    </row>
    <row r="753" spans="1:2" hidden="1" x14ac:dyDescent="0.35">
      <c r="A753" s="5"/>
      <c r="B753"/>
    </row>
    <row r="754" spans="1:2" hidden="1" x14ac:dyDescent="0.35">
      <c r="A754" s="5"/>
      <c r="B754"/>
    </row>
    <row r="755" spans="1:2" hidden="1" x14ac:dyDescent="0.35">
      <c r="A755" s="5"/>
      <c r="B755"/>
    </row>
    <row r="756" spans="1:2" hidden="1" x14ac:dyDescent="0.35">
      <c r="A756" s="5"/>
      <c r="B756"/>
    </row>
    <row r="757" spans="1:2" hidden="1" x14ac:dyDescent="0.35">
      <c r="A757" s="5"/>
      <c r="B757"/>
    </row>
    <row r="758" spans="1:2" hidden="1" x14ac:dyDescent="0.35">
      <c r="A758" s="5"/>
      <c r="B758"/>
    </row>
    <row r="759" spans="1:2" hidden="1" x14ac:dyDescent="0.35">
      <c r="A759" s="5"/>
      <c r="B759"/>
    </row>
    <row r="760" spans="1:2" hidden="1" x14ac:dyDescent="0.35">
      <c r="A760" s="5"/>
      <c r="B760"/>
    </row>
    <row r="761" spans="1:2" hidden="1" x14ac:dyDescent="0.35">
      <c r="A761" s="5"/>
      <c r="B761"/>
    </row>
    <row r="762" spans="1:2" hidden="1" x14ac:dyDescent="0.35">
      <c r="A762" s="5"/>
      <c r="B762"/>
    </row>
    <row r="763" spans="1:2" hidden="1" x14ac:dyDescent="0.35">
      <c r="A763" s="5"/>
      <c r="B763"/>
    </row>
    <row r="764" spans="1:2" hidden="1" x14ac:dyDescent="0.35">
      <c r="A764" s="5"/>
      <c r="B764"/>
    </row>
    <row r="765" spans="1:2" hidden="1" x14ac:dyDescent="0.35">
      <c r="A765" s="5"/>
      <c r="B765"/>
    </row>
    <row r="766" spans="1:2" hidden="1" x14ac:dyDescent="0.35">
      <c r="A766" s="5"/>
      <c r="B766"/>
    </row>
    <row r="767" spans="1:2" hidden="1" x14ac:dyDescent="0.35">
      <c r="A767" s="5"/>
      <c r="B767"/>
    </row>
    <row r="768" spans="1:2" hidden="1" x14ac:dyDescent="0.35">
      <c r="A768" s="5"/>
      <c r="B768"/>
    </row>
    <row r="769" spans="1:2" hidden="1" x14ac:dyDescent="0.35">
      <c r="A769" s="5"/>
      <c r="B769"/>
    </row>
    <row r="770" spans="1:2" hidden="1" x14ac:dyDescent="0.35">
      <c r="A770" s="5"/>
      <c r="B770"/>
    </row>
    <row r="771" spans="1:2" hidden="1" x14ac:dyDescent="0.35">
      <c r="A771" s="5"/>
      <c r="B771"/>
    </row>
    <row r="772" spans="1:2" hidden="1" x14ac:dyDescent="0.35">
      <c r="A772" s="5"/>
      <c r="B772"/>
    </row>
    <row r="773" spans="1:2" hidden="1" x14ac:dyDescent="0.35">
      <c r="A773" s="5"/>
      <c r="B773"/>
    </row>
    <row r="774" spans="1:2" hidden="1" x14ac:dyDescent="0.35">
      <c r="A774" s="5"/>
      <c r="B774"/>
    </row>
    <row r="775" spans="1:2" hidden="1" x14ac:dyDescent="0.35">
      <c r="A775" s="5"/>
      <c r="B775"/>
    </row>
    <row r="776" spans="1:2" hidden="1" x14ac:dyDescent="0.35">
      <c r="A776" s="5"/>
      <c r="B776"/>
    </row>
    <row r="777" spans="1:2" hidden="1" x14ac:dyDescent="0.35">
      <c r="A777" s="5"/>
      <c r="B777"/>
    </row>
    <row r="778" spans="1:2" hidden="1" x14ac:dyDescent="0.35">
      <c r="A778" s="5"/>
      <c r="B778"/>
    </row>
    <row r="779" spans="1:2" hidden="1" x14ac:dyDescent="0.35">
      <c r="A779" s="5"/>
      <c r="B779"/>
    </row>
    <row r="780" spans="1:2" hidden="1" x14ac:dyDescent="0.35">
      <c r="A780" s="5"/>
      <c r="B780"/>
    </row>
    <row r="781" spans="1:2" hidden="1" x14ac:dyDescent="0.35">
      <c r="A781" s="5"/>
      <c r="B781"/>
    </row>
    <row r="782" spans="1:2" hidden="1" x14ac:dyDescent="0.35">
      <c r="A782" s="5"/>
      <c r="B782"/>
    </row>
    <row r="783" spans="1:2" hidden="1" x14ac:dyDescent="0.35">
      <c r="A783" s="5"/>
      <c r="B783"/>
    </row>
    <row r="784" spans="1:2" hidden="1" x14ac:dyDescent="0.35">
      <c r="A784" s="5"/>
      <c r="B784"/>
    </row>
    <row r="785" spans="1:2" hidden="1" x14ac:dyDescent="0.35">
      <c r="A785" s="5"/>
      <c r="B785"/>
    </row>
    <row r="786" spans="1:2" hidden="1" x14ac:dyDescent="0.35">
      <c r="A786" s="5"/>
      <c r="B786"/>
    </row>
    <row r="787" spans="1:2" hidden="1" x14ac:dyDescent="0.35">
      <c r="A787" s="5"/>
      <c r="B787"/>
    </row>
    <row r="788" spans="1:2" hidden="1" x14ac:dyDescent="0.35">
      <c r="A788" s="5"/>
      <c r="B788"/>
    </row>
    <row r="789" spans="1:2" hidden="1" x14ac:dyDescent="0.35">
      <c r="A789" s="5"/>
      <c r="B789"/>
    </row>
    <row r="790" spans="1:2" hidden="1" x14ac:dyDescent="0.35">
      <c r="A790" s="5"/>
      <c r="B790"/>
    </row>
    <row r="791" spans="1:2" hidden="1" x14ac:dyDescent="0.35">
      <c r="A791" s="5"/>
      <c r="B791"/>
    </row>
    <row r="792" spans="1:2" hidden="1" x14ac:dyDescent="0.35">
      <c r="A792" s="5"/>
      <c r="B792"/>
    </row>
    <row r="793" spans="1:2" hidden="1" x14ac:dyDescent="0.35">
      <c r="A793" s="5"/>
      <c r="B793"/>
    </row>
    <row r="794" spans="1:2" hidden="1" x14ac:dyDescent="0.35">
      <c r="A794" s="5"/>
      <c r="B794"/>
    </row>
    <row r="795" spans="1:2" hidden="1" x14ac:dyDescent="0.35">
      <c r="A795" s="5"/>
      <c r="B795"/>
    </row>
    <row r="796" spans="1:2" hidden="1" x14ac:dyDescent="0.35">
      <c r="A796" s="5"/>
      <c r="B796"/>
    </row>
    <row r="797" spans="1:2" hidden="1" x14ac:dyDescent="0.35">
      <c r="A797" s="5"/>
      <c r="B797"/>
    </row>
    <row r="798" spans="1:2" hidden="1" x14ac:dyDescent="0.35">
      <c r="A798" s="5"/>
      <c r="B798"/>
    </row>
    <row r="799" spans="1:2" hidden="1" x14ac:dyDescent="0.35">
      <c r="A799" s="5"/>
      <c r="B799"/>
    </row>
    <row r="800" spans="1:2" hidden="1" x14ac:dyDescent="0.35">
      <c r="A800" s="5"/>
      <c r="B800"/>
    </row>
    <row r="801" spans="1:2" hidden="1" x14ac:dyDescent="0.35">
      <c r="A801" s="5"/>
      <c r="B801"/>
    </row>
    <row r="802" spans="1:2" hidden="1" x14ac:dyDescent="0.35">
      <c r="A802" s="5"/>
      <c r="B802"/>
    </row>
    <row r="803" spans="1:2" hidden="1" x14ac:dyDescent="0.35">
      <c r="A803" s="5"/>
      <c r="B803"/>
    </row>
    <row r="804" spans="1:2" hidden="1" x14ac:dyDescent="0.35">
      <c r="A804" s="5"/>
      <c r="B804"/>
    </row>
    <row r="805" spans="1:2" hidden="1" x14ac:dyDescent="0.35">
      <c r="A805" s="5"/>
      <c r="B805"/>
    </row>
    <row r="806" spans="1:2" hidden="1" x14ac:dyDescent="0.35">
      <c r="A806" s="5"/>
      <c r="B806"/>
    </row>
    <row r="807" spans="1:2" hidden="1" x14ac:dyDescent="0.35">
      <c r="A807" s="5"/>
      <c r="B807"/>
    </row>
    <row r="808" spans="1:2" hidden="1" x14ac:dyDescent="0.35">
      <c r="A808" s="5"/>
      <c r="B808"/>
    </row>
    <row r="809" spans="1:2" hidden="1" x14ac:dyDescent="0.35">
      <c r="A809" s="5"/>
      <c r="B809"/>
    </row>
    <row r="810" spans="1:2" hidden="1" x14ac:dyDescent="0.35">
      <c r="A810" s="5"/>
      <c r="B810"/>
    </row>
    <row r="811" spans="1:2" hidden="1" x14ac:dyDescent="0.35">
      <c r="A811" s="5"/>
      <c r="B811"/>
    </row>
    <row r="812" spans="1:2" hidden="1" x14ac:dyDescent="0.35">
      <c r="A812" s="5"/>
      <c r="B812"/>
    </row>
    <row r="813" spans="1:2" hidden="1" x14ac:dyDescent="0.35">
      <c r="A813" s="5"/>
      <c r="B813"/>
    </row>
    <row r="814" spans="1:2" hidden="1" x14ac:dyDescent="0.35">
      <c r="A814" s="5"/>
      <c r="B814"/>
    </row>
    <row r="815" spans="1:2" hidden="1" x14ac:dyDescent="0.35">
      <c r="A815" s="5"/>
      <c r="B815"/>
    </row>
    <row r="816" spans="1:2" hidden="1" x14ac:dyDescent="0.35">
      <c r="A816" s="5"/>
      <c r="B816"/>
    </row>
    <row r="817" spans="1:2" hidden="1" x14ac:dyDescent="0.35">
      <c r="A817" s="5"/>
      <c r="B817"/>
    </row>
    <row r="818" spans="1:2" hidden="1" x14ac:dyDescent="0.35">
      <c r="A818" s="5"/>
      <c r="B818"/>
    </row>
    <row r="819" spans="1:2" hidden="1" x14ac:dyDescent="0.35">
      <c r="A819" s="5"/>
      <c r="B819"/>
    </row>
    <row r="820" spans="1:2" hidden="1" x14ac:dyDescent="0.35">
      <c r="A820" s="5"/>
      <c r="B820"/>
    </row>
    <row r="821" spans="1:2" hidden="1" x14ac:dyDescent="0.35">
      <c r="A821" s="5"/>
      <c r="B821"/>
    </row>
    <row r="822" spans="1:2" hidden="1" x14ac:dyDescent="0.35">
      <c r="A822" s="5"/>
      <c r="B822"/>
    </row>
    <row r="823" spans="1:2" hidden="1" x14ac:dyDescent="0.35">
      <c r="A823" s="5"/>
      <c r="B823"/>
    </row>
    <row r="824" spans="1:2" hidden="1" x14ac:dyDescent="0.35">
      <c r="A824" s="5"/>
      <c r="B824"/>
    </row>
    <row r="825" spans="1:2" hidden="1" x14ac:dyDescent="0.35">
      <c r="A825" s="5"/>
      <c r="B825"/>
    </row>
    <row r="826" spans="1:2" hidden="1" x14ac:dyDescent="0.35">
      <c r="A826" s="5"/>
      <c r="B826"/>
    </row>
    <row r="827" spans="1:2" hidden="1" x14ac:dyDescent="0.35">
      <c r="A827" s="5"/>
      <c r="B827"/>
    </row>
    <row r="828" spans="1:2" hidden="1" x14ac:dyDescent="0.35">
      <c r="A828" s="5"/>
      <c r="B828"/>
    </row>
    <row r="829" spans="1:2" hidden="1" x14ac:dyDescent="0.35">
      <c r="A829" s="5"/>
      <c r="B829"/>
    </row>
    <row r="830" spans="1:2" hidden="1" x14ac:dyDescent="0.35">
      <c r="A830" s="5"/>
      <c r="B830"/>
    </row>
    <row r="831" spans="1:2" hidden="1" x14ac:dyDescent="0.35">
      <c r="A831" s="5"/>
      <c r="B831"/>
    </row>
    <row r="832" spans="1:2" hidden="1" x14ac:dyDescent="0.35">
      <c r="A832" s="5"/>
      <c r="B832"/>
    </row>
    <row r="833" spans="1:2" hidden="1" x14ac:dyDescent="0.35">
      <c r="A833" s="5"/>
      <c r="B833"/>
    </row>
    <row r="834" spans="1:2" hidden="1" x14ac:dyDescent="0.35">
      <c r="A834" s="5"/>
      <c r="B834"/>
    </row>
    <row r="835" spans="1:2" hidden="1" x14ac:dyDescent="0.35">
      <c r="A835" s="5"/>
      <c r="B835"/>
    </row>
    <row r="836" spans="1:2" hidden="1" x14ac:dyDescent="0.35">
      <c r="A836" s="5"/>
      <c r="B836"/>
    </row>
    <row r="837" spans="1:2" hidden="1" x14ac:dyDescent="0.35">
      <c r="A837" s="5"/>
      <c r="B837"/>
    </row>
    <row r="838" spans="1:2" hidden="1" x14ac:dyDescent="0.35">
      <c r="A838" s="5"/>
      <c r="B838"/>
    </row>
    <row r="839" spans="1:2" hidden="1" x14ac:dyDescent="0.35">
      <c r="A839" s="5"/>
      <c r="B839"/>
    </row>
    <row r="840" spans="1:2" hidden="1" x14ac:dyDescent="0.35">
      <c r="A840" s="5"/>
      <c r="B840"/>
    </row>
    <row r="841" spans="1:2" hidden="1" x14ac:dyDescent="0.35">
      <c r="A841" s="5"/>
      <c r="B841"/>
    </row>
    <row r="842" spans="1:2" hidden="1" x14ac:dyDescent="0.35">
      <c r="A842" s="5"/>
      <c r="B842"/>
    </row>
    <row r="843" spans="1:2" hidden="1" x14ac:dyDescent="0.35">
      <c r="A843" s="5"/>
      <c r="B843"/>
    </row>
    <row r="844" spans="1:2" hidden="1" x14ac:dyDescent="0.35">
      <c r="A844" s="5"/>
      <c r="B844"/>
    </row>
    <row r="845" spans="1:2" hidden="1" x14ac:dyDescent="0.35">
      <c r="A845" s="5"/>
      <c r="B845"/>
    </row>
    <row r="846" spans="1:2" hidden="1" x14ac:dyDescent="0.35">
      <c r="A846" s="5"/>
      <c r="B846"/>
    </row>
    <row r="847" spans="1:2" hidden="1" x14ac:dyDescent="0.35">
      <c r="A847" s="5"/>
      <c r="B847"/>
    </row>
    <row r="848" spans="1:2" hidden="1" x14ac:dyDescent="0.35">
      <c r="A848" s="5"/>
      <c r="B848"/>
    </row>
    <row r="849" spans="1:2" hidden="1" x14ac:dyDescent="0.35">
      <c r="A849" s="5"/>
      <c r="B849"/>
    </row>
    <row r="850" spans="1:2" hidden="1" x14ac:dyDescent="0.35">
      <c r="A850" s="5"/>
      <c r="B850"/>
    </row>
    <row r="851" spans="1:2" hidden="1" x14ac:dyDescent="0.35">
      <c r="A851" s="5"/>
      <c r="B851"/>
    </row>
    <row r="852" spans="1:2" hidden="1" x14ac:dyDescent="0.35">
      <c r="A852" s="5"/>
      <c r="B852"/>
    </row>
    <row r="853" spans="1:2" hidden="1" x14ac:dyDescent="0.35">
      <c r="A853" s="5"/>
      <c r="B853"/>
    </row>
    <row r="854" spans="1:2" hidden="1" x14ac:dyDescent="0.35">
      <c r="A854" s="5"/>
      <c r="B854"/>
    </row>
    <row r="855" spans="1:2" hidden="1" x14ac:dyDescent="0.35">
      <c r="A855" s="5"/>
      <c r="B855"/>
    </row>
    <row r="856" spans="1:2" hidden="1" x14ac:dyDescent="0.35">
      <c r="A856" s="5"/>
      <c r="B856"/>
    </row>
    <row r="857" spans="1:2" hidden="1" x14ac:dyDescent="0.35">
      <c r="A857" s="5"/>
      <c r="B857"/>
    </row>
    <row r="858" spans="1:2" hidden="1" x14ac:dyDescent="0.35">
      <c r="A858" s="5"/>
      <c r="B858"/>
    </row>
    <row r="859" spans="1:2" hidden="1" x14ac:dyDescent="0.35">
      <c r="A859" s="5"/>
      <c r="B859"/>
    </row>
    <row r="860" spans="1:2" hidden="1" x14ac:dyDescent="0.35">
      <c r="A860" s="5"/>
      <c r="B860"/>
    </row>
    <row r="861" spans="1:2" hidden="1" x14ac:dyDescent="0.35">
      <c r="A861" s="5"/>
      <c r="B861"/>
    </row>
    <row r="862" spans="1:2" hidden="1" x14ac:dyDescent="0.35">
      <c r="A862" s="5"/>
      <c r="B862"/>
    </row>
    <row r="863" spans="1:2" hidden="1" x14ac:dyDescent="0.35">
      <c r="A863" s="5"/>
      <c r="B863"/>
    </row>
    <row r="864" spans="1:2" hidden="1" x14ac:dyDescent="0.35">
      <c r="A864" s="5"/>
      <c r="B864"/>
    </row>
    <row r="865" spans="1:2" hidden="1" x14ac:dyDescent="0.35">
      <c r="A865" s="5"/>
      <c r="B865"/>
    </row>
    <row r="866" spans="1:2" hidden="1" x14ac:dyDescent="0.35">
      <c r="A866" s="5"/>
      <c r="B866"/>
    </row>
    <row r="867" spans="1:2" hidden="1" x14ac:dyDescent="0.35">
      <c r="A867" s="5"/>
      <c r="B867"/>
    </row>
    <row r="868" spans="1:2" hidden="1" x14ac:dyDescent="0.35">
      <c r="A868" s="5"/>
      <c r="B868"/>
    </row>
    <row r="869" spans="1:2" hidden="1" x14ac:dyDescent="0.35">
      <c r="A869" s="5"/>
      <c r="B869"/>
    </row>
    <row r="870" spans="1:2" hidden="1" x14ac:dyDescent="0.35">
      <c r="A870" s="5"/>
      <c r="B870"/>
    </row>
    <row r="871" spans="1:2" hidden="1" x14ac:dyDescent="0.35">
      <c r="A871" s="5"/>
      <c r="B871"/>
    </row>
    <row r="872" spans="1:2" hidden="1" x14ac:dyDescent="0.35">
      <c r="A872" s="5"/>
      <c r="B872"/>
    </row>
    <row r="873" spans="1:2" hidden="1" x14ac:dyDescent="0.35">
      <c r="A873" s="5"/>
      <c r="B873"/>
    </row>
    <row r="874" spans="1:2" hidden="1" x14ac:dyDescent="0.35">
      <c r="A874" s="5"/>
      <c r="B874"/>
    </row>
    <row r="875" spans="1:2" hidden="1" x14ac:dyDescent="0.35">
      <c r="A875" s="5"/>
      <c r="B875"/>
    </row>
    <row r="876" spans="1:2" hidden="1" x14ac:dyDescent="0.35">
      <c r="A876" s="5"/>
      <c r="B876"/>
    </row>
    <row r="877" spans="1:2" hidden="1" x14ac:dyDescent="0.35">
      <c r="A877" s="5"/>
      <c r="B877"/>
    </row>
    <row r="878" spans="1:2" hidden="1" x14ac:dyDescent="0.35">
      <c r="A878" s="5"/>
      <c r="B878"/>
    </row>
    <row r="879" spans="1:2" hidden="1" x14ac:dyDescent="0.35">
      <c r="A879" s="5"/>
      <c r="B879"/>
    </row>
    <row r="880" spans="1:2" hidden="1" x14ac:dyDescent="0.35">
      <c r="A880" s="5"/>
      <c r="B880"/>
    </row>
    <row r="881" spans="1:2" hidden="1" x14ac:dyDescent="0.35">
      <c r="A881" s="5"/>
      <c r="B881"/>
    </row>
    <row r="882" spans="1:2" hidden="1" x14ac:dyDescent="0.35">
      <c r="A882" s="5"/>
      <c r="B882"/>
    </row>
    <row r="883" spans="1:2" hidden="1" x14ac:dyDescent="0.35">
      <c r="A883" s="5"/>
      <c r="B883"/>
    </row>
    <row r="884" spans="1:2" hidden="1" x14ac:dyDescent="0.35">
      <c r="A884" s="5"/>
      <c r="B884"/>
    </row>
    <row r="885" spans="1:2" hidden="1" x14ac:dyDescent="0.35">
      <c r="A885" s="5"/>
      <c r="B885"/>
    </row>
    <row r="886" spans="1:2" hidden="1" x14ac:dyDescent="0.35">
      <c r="A886" s="5"/>
      <c r="B886"/>
    </row>
    <row r="887" spans="1:2" hidden="1" x14ac:dyDescent="0.35">
      <c r="A887" s="5"/>
      <c r="B887"/>
    </row>
    <row r="888" spans="1:2" hidden="1" x14ac:dyDescent="0.35">
      <c r="A888" s="5"/>
      <c r="B888"/>
    </row>
    <row r="889" spans="1:2" hidden="1" x14ac:dyDescent="0.35">
      <c r="A889" s="5"/>
      <c r="B889"/>
    </row>
    <row r="890" spans="1:2" hidden="1" x14ac:dyDescent="0.35">
      <c r="A890" s="5"/>
      <c r="B890"/>
    </row>
    <row r="891" spans="1:2" hidden="1" x14ac:dyDescent="0.35">
      <c r="A891" s="5"/>
      <c r="B891"/>
    </row>
    <row r="892" spans="1:2" hidden="1" x14ac:dyDescent="0.35">
      <c r="A892" s="5"/>
      <c r="B892"/>
    </row>
    <row r="893" spans="1:2" hidden="1" x14ac:dyDescent="0.35">
      <c r="A893" s="5"/>
      <c r="B893"/>
    </row>
    <row r="894" spans="1:2" hidden="1" x14ac:dyDescent="0.35">
      <c r="A894" s="5"/>
      <c r="B894"/>
    </row>
    <row r="895" spans="1:2" hidden="1" x14ac:dyDescent="0.35">
      <c r="A895" s="5"/>
      <c r="B895"/>
    </row>
    <row r="896" spans="1:2" hidden="1" x14ac:dyDescent="0.35">
      <c r="A896" s="5"/>
      <c r="B896"/>
    </row>
    <row r="897" spans="1:2" hidden="1" x14ac:dyDescent="0.35">
      <c r="A897" s="5"/>
      <c r="B897"/>
    </row>
    <row r="898" spans="1:2" hidden="1" x14ac:dyDescent="0.35">
      <c r="A898" s="5"/>
      <c r="B898"/>
    </row>
    <row r="899" spans="1:2" hidden="1" x14ac:dyDescent="0.35">
      <c r="A899" s="5"/>
      <c r="B899"/>
    </row>
    <row r="900" spans="1:2" hidden="1" x14ac:dyDescent="0.35">
      <c r="A900" s="5"/>
      <c r="B900"/>
    </row>
    <row r="901" spans="1:2" hidden="1" x14ac:dyDescent="0.35">
      <c r="A901" s="5"/>
      <c r="B901"/>
    </row>
    <row r="902" spans="1:2" hidden="1" x14ac:dyDescent="0.35">
      <c r="A902" s="5"/>
      <c r="B902"/>
    </row>
    <row r="903" spans="1:2" hidden="1" x14ac:dyDescent="0.35">
      <c r="A903" s="5"/>
      <c r="B903"/>
    </row>
    <row r="904" spans="1:2" hidden="1" x14ac:dyDescent="0.35">
      <c r="A904" s="5"/>
      <c r="B904"/>
    </row>
    <row r="905" spans="1:2" hidden="1" x14ac:dyDescent="0.35">
      <c r="A905" s="5"/>
      <c r="B905"/>
    </row>
    <row r="906" spans="1:2" hidden="1" x14ac:dyDescent="0.35">
      <c r="A906" s="5"/>
      <c r="B906"/>
    </row>
    <row r="907" spans="1:2" hidden="1" x14ac:dyDescent="0.35">
      <c r="A907" s="5"/>
      <c r="B907"/>
    </row>
    <row r="908" spans="1:2" hidden="1" x14ac:dyDescent="0.35">
      <c r="A908" s="5"/>
      <c r="B908"/>
    </row>
    <row r="909" spans="1:2" hidden="1" x14ac:dyDescent="0.35">
      <c r="A909" s="5"/>
      <c r="B909"/>
    </row>
    <row r="910" spans="1:2" hidden="1" x14ac:dyDescent="0.35">
      <c r="A910" s="5"/>
      <c r="B910"/>
    </row>
    <row r="911" spans="1:2" hidden="1" x14ac:dyDescent="0.35">
      <c r="A911" s="5"/>
      <c r="B911"/>
    </row>
    <row r="912" spans="1:2" hidden="1" x14ac:dyDescent="0.35">
      <c r="A912" s="5"/>
      <c r="B912"/>
    </row>
    <row r="913" spans="1:2" hidden="1" x14ac:dyDescent="0.35">
      <c r="A913" s="5"/>
      <c r="B913"/>
    </row>
    <row r="914" spans="1:2" hidden="1" x14ac:dyDescent="0.35">
      <c r="A914" s="5"/>
      <c r="B914"/>
    </row>
    <row r="915" spans="1:2" hidden="1" x14ac:dyDescent="0.35">
      <c r="A915" s="5"/>
      <c r="B915"/>
    </row>
    <row r="916" spans="1:2" hidden="1" x14ac:dyDescent="0.35">
      <c r="A916" s="5"/>
      <c r="B916"/>
    </row>
    <row r="917" spans="1:2" hidden="1" x14ac:dyDescent="0.35">
      <c r="A917" s="5"/>
      <c r="B917"/>
    </row>
    <row r="918" spans="1:2" hidden="1" x14ac:dyDescent="0.35">
      <c r="A918" s="5"/>
      <c r="B918"/>
    </row>
    <row r="919" spans="1:2" hidden="1" x14ac:dyDescent="0.35">
      <c r="A919" s="5"/>
      <c r="B919"/>
    </row>
    <row r="920" spans="1:2" hidden="1" x14ac:dyDescent="0.35">
      <c r="A920" s="5"/>
      <c r="B920"/>
    </row>
    <row r="921" spans="1:2" hidden="1" x14ac:dyDescent="0.35">
      <c r="A921" s="5"/>
      <c r="B921"/>
    </row>
    <row r="922" spans="1:2" hidden="1" x14ac:dyDescent="0.35">
      <c r="A922" s="5"/>
      <c r="B922"/>
    </row>
    <row r="923" spans="1:2" hidden="1" x14ac:dyDescent="0.35">
      <c r="A923" s="5"/>
      <c r="B923"/>
    </row>
    <row r="924" spans="1:2" hidden="1" x14ac:dyDescent="0.35">
      <c r="A924" s="5"/>
      <c r="B924"/>
    </row>
    <row r="925" spans="1:2" hidden="1" x14ac:dyDescent="0.35">
      <c r="A925" s="5"/>
      <c r="B925"/>
    </row>
    <row r="926" spans="1:2" hidden="1" x14ac:dyDescent="0.35">
      <c r="A926" s="5"/>
      <c r="B926"/>
    </row>
    <row r="927" spans="1:2" hidden="1" x14ac:dyDescent="0.35">
      <c r="A927" s="5"/>
      <c r="B927"/>
    </row>
    <row r="928" spans="1:2" hidden="1" x14ac:dyDescent="0.35">
      <c r="A928" s="5"/>
      <c r="B928"/>
    </row>
    <row r="929" spans="1:2" hidden="1" x14ac:dyDescent="0.35">
      <c r="A929" s="5"/>
      <c r="B929"/>
    </row>
    <row r="930" spans="1:2" hidden="1" x14ac:dyDescent="0.35">
      <c r="A930" s="5"/>
      <c r="B930"/>
    </row>
    <row r="931" spans="1:2" hidden="1" x14ac:dyDescent="0.35">
      <c r="A931" s="5"/>
      <c r="B931"/>
    </row>
    <row r="932" spans="1:2" hidden="1" x14ac:dyDescent="0.35">
      <c r="A932" s="5"/>
      <c r="B932"/>
    </row>
    <row r="933" spans="1:2" hidden="1" x14ac:dyDescent="0.35">
      <c r="A933" s="5"/>
      <c r="B933"/>
    </row>
    <row r="934" spans="1:2" hidden="1" x14ac:dyDescent="0.35">
      <c r="A934" s="5"/>
      <c r="B934"/>
    </row>
    <row r="935" spans="1:2" hidden="1" x14ac:dyDescent="0.35">
      <c r="A935" s="5"/>
      <c r="B935"/>
    </row>
    <row r="936" spans="1:2" hidden="1" x14ac:dyDescent="0.35">
      <c r="A936" s="5"/>
      <c r="B936"/>
    </row>
    <row r="937" spans="1:2" hidden="1" x14ac:dyDescent="0.35">
      <c r="A937" s="5"/>
      <c r="B937"/>
    </row>
    <row r="938" spans="1:2" hidden="1" x14ac:dyDescent="0.35">
      <c r="A938" s="5"/>
      <c r="B938"/>
    </row>
    <row r="939" spans="1:2" hidden="1" x14ac:dyDescent="0.35">
      <c r="A939" s="5"/>
      <c r="B939"/>
    </row>
    <row r="940" spans="1:2" hidden="1" x14ac:dyDescent="0.35">
      <c r="A940" s="5"/>
      <c r="B940"/>
    </row>
    <row r="941" spans="1:2" hidden="1" x14ac:dyDescent="0.35">
      <c r="A941" s="5"/>
      <c r="B941"/>
    </row>
    <row r="942" spans="1:2" hidden="1" x14ac:dyDescent="0.35">
      <c r="A942" s="5"/>
      <c r="B942"/>
    </row>
    <row r="943" spans="1:2" hidden="1" x14ac:dyDescent="0.35">
      <c r="A943" s="5"/>
      <c r="B943"/>
    </row>
    <row r="944" spans="1:2" hidden="1" x14ac:dyDescent="0.35">
      <c r="A944" s="5"/>
      <c r="B944"/>
    </row>
    <row r="945" spans="1:2" hidden="1" x14ac:dyDescent="0.35">
      <c r="A945" s="5"/>
      <c r="B945"/>
    </row>
    <row r="946" spans="1:2" hidden="1" x14ac:dyDescent="0.35">
      <c r="A946" s="5"/>
      <c r="B946"/>
    </row>
    <row r="947" spans="1:2" hidden="1" x14ac:dyDescent="0.35">
      <c r="A947" s="5"/>
      <c r="B947"/>
    </row>
    <row r="948" spans="1:2" hidden="1" x14ac:dyDescent="0.35">
      <c r="A948" s="5"/>
      <c r="B948"/>
    </row>
    <row r="949" spans="1:2" hidden="1" x14ac:dyDescent="0.35">
      <c r="A949" s="5"/>
      <c r="B949"/>
    </row>
    <row r="950" spans="1:2" hidden="1" x14ac:dyDescent="0.35">
      <c r="A950" s="5"/>
      <c r="B950"/>
    </row>
    <row r="951" spans="1:2" hidden="1" x14ac:dyDescent="0.35">
      <c r="A951" s="5"/>
      <c r="B951"/>
    </row>
    <row r="952" spans="1:2" hidden="1" x14ac:dyDescent="0.35">
      <c r="A952" s="5"/>
      <c r="B952"/>
    </row>
    <row r="953" spans="1:2" hidden="1" x14ac:dyDescent="0.35">
      <c r="A953" s="5"/>
      <c r="B953"/>
    </row>
    <row r="954" spans="1:2" hidden="1" x14ac:dyDescent="0.35">
      <c r="A954" s="5"/>
      <c r="B954"/>
    </row>
    <row r="955" spans="1:2" hidden="1" x14ac:dyDescent="0.35">
      <c r="A955" s="5"/>
      <c r="B955"/>
    </row>
    <row r="956" spans="1:2" hidden="1" x14ac:dyDescent="0.35">
      <c r="A956" s="5"/>
      <c r="B956"/>
    </row>
    <row r="957" spans="1:2" hidden="1" x14ac:dyDescent="0.35">
      <c r="A957" s="5"/>
      <c r="B957"/>
    </row>
    <row r="958" spans="1:2" hidden="1" x14ac:dyDescent="0.35">
      <c r="A958" s="5"/>
      <c r="B958"/>
    </row>
    <row r="959" spans="1:2" hidden="1" x14ac:dyDescent="0.35">
      <c r="A959" s="5"/>
      <c r="B959"/>
    </row>
    <row r="960" spans="1:2" hidden="1" x14ac:dyDescent="0.35">
      <c r="A960" s="5"/>
      <c r="B960"/>
    </row>
    <row r="961" spans="1:2" hidden="1" x14ac:dyDescent="0.35">
      <c r="A961" s="5"/>
      <c r="B961"/>
    </row>
    <row r="962" spans="1:2" hidden="1" x14ac:dyDescent="0.35">
      <c r="A962" s="5"/>
      <c r="B962"/>
    </row>
    <row r="963" spans="1:2" hidden="1" x14ac:dyDescent="0.35">
      <c r="A963" s="5"/>
      <c r="B963"/>
    </row>
    <row r="964" spans="1:2" hidden="1" x14ac:dyDescent="0.35">
      <c r="A964" s="5"/>
      <c r="B964"/>
    </row>
    <row r="965" spans="1:2" hidden="1" x14ac:dyDescent="0.35">
      <c r="A965" s="5"/>
      <c r="B965"/>
    </row>
    <row r="966" spans="1:2" hidden="1" x14ac:dyDescent="0.35">
      <c r="A966" s="5"/>
      <c r="B966"/>
    </row>
    <row r="967" spans="1:2" hidden="1" x14ac:dyDescent="0.35">
      <c r="A967" s="5"/>
      <c r="B967"/>
    </row>
    <row r="968" spans="1:2" hidden="1" x14ac:dyDescent="0.35">
      <c r="A968" s="5"/>
      <c r="B968"/>
    </row>
    <row r="969" spans="1:2" hidden="1" x14ac:dyDescent="0.35">
      <c r="A969" s="5"/>
      <c r="B969"/>
    </row>
    <row r="970" spans="1:2" hidden="1" x14ac:dyDescent="0.35">
      <c r="A970" s="5"/>
      <c r="B970"/>
    </row>
    <row r="971" spans="1:2" hidden="1" x14ac:dyDescent="0.35">
      <c r="A971" s="5"/>
      <c r="B971"/>
    </row>
    <row r="972" spans="1:2" hidden="1" x14ac:dyDescent="0.35">
      <c r="A972" s="5"/>
      <c r="B972"/>
    </row>
    <row r="973" spans="1:2" hidden="1" x14ac:dyDescent="0.35">
      <c r="A973" s="5"/>
      <c r="B973"/>
    </row>
    <row r="974" spans="1:2" hidden="1" x14ac:dyDescent="0.35">
      <c r="A974" s="5"/>
      <c r="B974"/>
    </row>
    <row r="975" spans="1:2" hidden="1" x14ac:dyDescent="0.35">
      <c r="A975" s="5"/>
      <c r="B975"/>
    </row>
    <row r="976" spans="1:2" hidden="1" x14ac:dyDescent="0.35">
      <c r="A976" s="5"/>
      <c r="B976"/>
    </row>
    <row r="977" spans="1:2" hidden="1" x14ac:dyDescent="0.35">
      <c r="A977" s="5"/>
      <c r="B977"/>
    </row>
    <row r="978" spans="1:2" hidden="1" x14ac:dyDescent="0.35">
      <c r="A978" s="5"/>
      <c r="B978"/>
    </row>
    <row r="979" spans="1:2" hidden="1" x14ac:dyDescent="0.35">
      <c r="A979" s="5"/>
      <c r="B979"/>
    </row>
    <row r="980" spans="1:2" hidden="1" x14ac:dyDescent="0.35">
      <c r="A980" s="5"/>
      <c r="B980"/>
    </row>
    <row r="981" spans="1:2" hidden="1" x14ac:dyDescent="0.35">
      <c r="A981" s="5"/>
      <c r="B981"/>
    </row>
    <row r="982" spans="1:2" hidden="1" x14ac:dyDescent="0.35">
      <c r="A982" s="5"/>
      <c r="B982"/>
    </row>
    <row r="983" spans="1:2" hidden="1" x14ac:dyDescent="0.35">
      <c r="A983" s="5"/>
      <c r="B983"/>
    </row>
    <row r="984" spans="1:2" hidden="1" x14ac:dyDescent="0.35">
      <c r="A984" s="5"/>
      <c r="B984"/>
    </row>
    <row r="985" spans="1:2" hidden="1" x14ac:dyDescent="0.35">
      <c r="A985" s="5"/>
      <c r="B985"/>
    </row>
    <row r="986" spans="1:2" hidden="1" x14ac:dyDescent="0.35">
      <c r="A986" s="5"/>
      <c r="B986"/>
    </row>
    <row r="987" spans="1:2" hidden="1" x14ac:dyDescent="0.35">
      <c r="A987" s="5"/>
      <c r="B987"/>
    </row>
    <row r="988" spans="1:2" hidden="1" x14ac:dyDescent="0.35">
      <c r="A988" s="5"/>
      <c r="B988"/>
    </row>
    <row r="989" spans="1:2" hidden="1" x14ac:dyDescent="0.35">
      <c r="A989" s="5"/>
      <c r="B989"/>
    </row>
    <row r="990" spans="1:2" hidden="1" x14ac:dyDescent="0.35">
      <c r="A990" s="5"/>
      <c r="B990"/>
    </row>
    <row r="991" spans="1:2" hidden="1" x14ac:dyDescent="0.35">
      <c r="A991" s="5"/>
      <c r="B991"/>
    </row>
    <row r="992" spans="1:2" hidden="1" x14ac:dyDescent="0.35">
      <c r="A992" s="5"/>
      <c r="B992"/>
    </row>
    <row r="993" spans="1:2" hidden="1" x14ac:dyDescent="0.35">
      <c r="A993" s="5"/>
      <c r="B993"/>
    </row>
    <row r="994" spans="1:2" hidden="1" x14ac:dyDescent="0.35">
      <c r="A994" s="5"/>
      <c r="B994"/>
    </row>
    <row r="995" spans="1:2" hidden="1" x14ac:dyDescent="0.35">
      <c r="A995" s="5"/>
      <c r="B995"/>
    </row>
    <row r="996" spans="1:2" hidden="1" x14ac:dyDescent="0.35">
      <c r="A996" s="5"/>
      <c r="B996"/>
    </row>
    <row r="997" spans="1:2" hidden="1" x14ac:dyDescent="0.35">
      <c r="A997" s="5"/>
      <c r="B997"/>
    </row>
    <row r="998" spans="1:2" hidden="1" x14ac:dyDescent="0.35">
      <c r="A998" s="5"/>
      <c r="B998"/>
    </row>
    <row r="999" spans="1:2" hidden="1" x14ac:dyDescent="0.35">
      <c r="A999" s="5"/>
      <c r="B999"/>
    </row>
    <row r="1000" spans="1:2" hidden="1" x14ac:dyDescent="0.35">
      <c r="A1000" s="5"/>
      <c r="B1000"/>
    </row>
    <row r="1001" spans="1:2" hidden="1" x14ac:dyDescent="0.35">
      <c r="A1001" s="5"/>
      <c r="B1001"/>
    </row>
    <row r="1002" spans="1:2" hidden="1" x14ac:dyDescent="0.35">
      <c r="A1002" s="5"/>
      <c r="B1002"/>
    </row>
    <row r="1003" spans="1:2" hidden="1" x14ac:dyDescent="0.35">
      <c r="A1003" s="5"/>
      <c r="B1003"/>
    </row>
    <row r="1004" spans="1:2" hidden="1" x14ac:dyDescent="0.35">
      <c r="A1004" s="5"/>
      <c r="B1004"/>
    </row>
    <row r="1005" spans="1:2" hidden="1" x14ac:dyDescent="0.35">
      <c r="A1005" s="5"/>
      <c r="B1005"/>
    </row>
    <row r="1006" spans="1:2" hidden="1" x14ac:dyDescent="0.35">
      <c r="A1006" s="5"/>
      <c r="B1006"/>
    </row>
    <row r="1007" spans="1:2" hidden="1" x14ac:dyDescent="0.35">
      <c r="A1007" s="5"/>
      <c r="B1007"/>
    </row>
    <row r="1008" spans="1:2" hidden="1" x14ac:dyDescent="0.35">
      <c r="A1008" s="5"/>
      <c r="B1008"/>
    </row>
    <row r="1009" spans="1:2" hidden="1" x14ac:dyDescent="0.35">
      <c r="A1009" s="5"/>
      <c r="B1009"/>
    </row>
    <row r="1010" spans="1:2" hidden="1" x14ac:dyDescent="0.35">
      <c r="B1010"/>
    </row>
    <row r="1011" spans="1:2" hidden="1" x14ac:dyDescent="0.35">
      <c r="B1011"/>
    </row>
    <row r="1012" spans="1:2" hidden="1" x14ac:dyDescent="0.35">
      <c r="B1012"/>
    </row>
    <row r="1013" spans="1:2" hidden="1" x14ac:dyDescent="0.35">
      <c r="B1013"/>
    </row>
    <row r="1014" spans="1:2" hidden="1" x14ac:dyDescent="0.35">
      <c r="B1014"/>
    </row>
    <row r="1015" spans="1:2" hidden="1" x14ac:dyDescent="0.35">
      <c r="B1015"/>
    </row>
    <row r="1016" spans="1:2" hidden="1" x14ac:dyDescent="0.35">
      <c r="B1016"/>
    </row>
    <row r="1017" spans="1:2" hidden="1" x14ac:dyDescent="0.35">
      <c r="B1017"/>
    </row>
    <row r="1018" spans="1:2" hidden="1" x14ac:dyDescent="0.35">
      <c r="B1018"/>
    </row>
    <row r="1019" spans="1:2" hidden="1" x14ac:dyDescent="0.35">
      <c r="B1019"/>
    </row>
    <row r="1020" spans="1:2" hidden="1" x14ac:dyDescent="0.35">
      <c r="B1020"/>
    </row>
    <row r="1021" spans="1:2" hidden="1" x14ac:dyDescent="0.35">
      <c r="B1021"/>
    </row>
    <row r="1022" spans="1:2" hidden="1" x14ac:dyDescent="0.35">
      <c r="B1022"/>
    </row>
    <row r="1023" spans="1:2" hidden="1" x14ac:dyDescent="0.35">
      <c r="B1023"/>
    </row>
    <row r="1024" spans="1:2" hidden="1" x14ac:dyDescent="0.35">
      <c r="B1024"/>
    </row>
    <row r="1025" spans="2:2" hidden="1" x14ac:dyDescent="0.35">
      <c r="B1025"/>
    </row>
    <row r="1026" spans="2:2" hidden="1" x14ac:dyDescent="0.35">
      <c r="B1026"/>
    </row>
    <row r="1027" spans="2:2" hidden="1" x14ac:dyDescent="0.35">
      <c r="B1027"/>
    </row>
    <row r="1028" spans="2:2" hidden="1" x14ac:dyDescent="0.35">
      <c r="B1028"/>
    </row>
    <row r="1029" spans="2:2" hidden="1" x14ac:dyDescent="0.35">
      <c r="B1029"/>
    </row>
    <row r="1030" spans="2:2" hidden="1" x14ac:dyDescent="0.35">
      <c r="B1030"/>
    </row>
    <row r="1031" spans="2:2" hidden="1" x14ac:dyDescent="0.35">
      <c r="B1031"/>
    </row>
    <row r="1032" spans="2:2" hidden="1" x14ac:dyDescent="0.35">
      <c r="B1032"/>
    </row>
    <row r="1033" spans="2:2" hidden="1" x14ac:dyDescent="0.35">
      <c r="B1033"/>
    </row>
    <row r="1034" spans="2:2" hidden="1" x14ac:dyDescent="0.35">
      <c r="B1034"/>
    </row>
    <row r="1035" spans="2:2" hidden="1" x14ac:dyDescent="0.35">
      <c r="B1035"/>
    </row>
    <row r="1036" spans="2:2" hidden="1" x14ac:dyDescent="0.35">
      <c r="B1036"/>
    </row>
    <row r="1037" spans="2:2" hidden="1" x14ac:dyDescent="0.35">
      <c r="B1037"/>
    </row>
    <row r="1038" spans="2:2" hidden="1" x14ac:dyDescent="0.35">
      <c r="B1038"/>
    </row>
    <row r="1039" spans="2:2" hidden="1" x14ac:dyDescent="0.35">
      <c r="B1039"/>
    </row>
    <row r="1040" spans="2:2" hidden="1" x14ac:dyDescent="0.35">
      <c r="B1040"/>
    </row>
    <row r="1041" spans="2:2" hidden="1" x14ac:dyDescent="0.35">
      <c r="B1041"/>
    </row>
    <row r="1042" spans="2:2" hidden="1" x14ac:dyDescent="0.35">
      <c r="B1042"/>
    </row>
    <row r="1043" spans="2:2" hidden="1" x14ac:dyDescent="0.35">
      <c r="B1043"/>
    </row>
    <row r="1044" spans="2:2" hidden="1" x14ac:dyDescent="0.35">
      <c r="B1044"/>
    </row>
    <row r="1045" spans="2:2" hidden="1" x14ac:dyDescent="0.35">
      <c r="B1045"/>
    </row>
    <row r="1046" spans="2:2" hidden="1" x14ac:dyDescent="0.35">
      <c r="B1046"/>
    </row>
    <row r="1047" spans="2:2" hidden="1" x14ac:dyDescent="0.35">
      <c r="B1047"/>
    </row>
    <row r="1048" spans="2:2" hidden="1" x14ac:dyDescent="0.35">
      <c r="B1048"/>
    </row>
    <row r="1049" spans="2:2" hidden="1" x14ac:dyDescent="0.35">
      <c r="B1049"/>
    </row>
    <row r="1050" spans="2:2" hidden="1" x14ac:dyDescent="0.35">
      <c r="B1050"/>
    </row>
    <row r="1051" spans="2:2" hidden="1" x14ac:dyDescent="0.35">
      <c r="B1051"/>
    </row>
    <row r="1052" spans="2:2" hidden="1" x14ac:dyDescent="0.35">
      <c r="B1052"/>
    </row>
    <row r="1053" spans="2:2" hidden="1" x14ac:dyDescent="0.35">
      <c r="B1053"/>
    </row>
    <row r="1054" spans="2:2" hidden="1" x14ac:dyDescent="0.35">
      <c r="B1054"/>
    </row>
    <row r="1055" spans="2:2" hidden="1" x14ac:dyDescent="0.35">
      <c r="B1055"/>
    </row>
    <row r="1056" spans="2:2" hidden="1" x14ac:dyDescent="0.35">
      <c r="B1056"/>
    </row>
    <row r="1057" spans="2:2" hidden="1" x14ac:dyDescent="0.35">
      <c r="B1057"/>
    </row>
    <row r="1058" spans="2:2" hidden="1" x14ac:dyDescent="0.35">
      <c r="B1058"/>
    </row>
    <row r="1059" spans="2:2" hidden="1" x14ac:dyDescent="0.35">
      <c r="B1059"/>
    </row>
    <row r="1060" spans="2:2" hidden="1" x14ac:dyDescent="0.35">
      <c r="B1060"/>
    </row>
    <row r="1061" spans="2:2" hidden="1" x14ac:dyDescent="0.35">
      <c r="B1061"/>
    </row>
    <row r="1062" spans="2:2" hidden="1" x14ac:dyDescent="0.35">
      <c r="B1062"/>
    </row>
    <row r="1063" spans="2:2" hidden="1" x14ac:dyDescent="0.35">
      <c r="B1063"/>
    </row>
    <row r="1064" spans="2:2" hidden="1" x14ac:dyDescent="0.35">
      <c r="B1064"/>
    </row>
    <row r="1065" spans="2:2" hidden="1" x14ac:dyDescent="0.35">
      <c r="B1065"/>
    </row>
    <row r="1066" spans="2:2" hidden="1" x14ac:dyDescent="0.35">
      <c r="B1066"/>
    </row>
    <row r="1067" spans="2:2" hidden="1" x14ac:dyDescent="0.35">
      <c r="B1067"/>
    </row>
    <row r="1068" spans="2:2" hidden="1" x14ac:dyDescent="0.35">
      <c r="B1068"/>
    </row>
    <row r="1069" spans="2:2" hidden="1" x14ac:dyDescent="0.35">
      <c r="B1069"/>
    </row>
    <row r="1070" spans="2:2" hidden="1" x14ac:dyDescent="0.35">
      <c r="B1070"/>
    </row>
    <row r="1071" spans="2:2" hidden="1" x14ac:dyDescent="0.35">
      <c r="B1071"/>
    </row>
    <row r="1072" spans="2:2" hidden="1" x14ac:dyDescent="0.35">
      <c r="B1072"/>
    </row>
    <row r="1073" spans="2:2" hidden="1" x14ac:dyDescent="0.35">
      <c r="B1073"/>
    </row>
    <row r="1074" spans="2:2" hidden="1" x14ac:dyDescent="0.35">
      <c r="B1074"/>
    </row>
    <row r="1075" spans="2:2" hidden="1" x14ac:dyDescent="0.35">
      <c r="B1075"/>
    </row>
    <row r="1076" spans="2:2" hidden="1" x14ac:dyDescent="0.35">
      <c r="B1076"/>
    </row>
    <row r="1077" spans="2:2" hidden="1" x14ac:dyDescent="0.35">
      <c r="B1077"/>
    </row>
    <row r="1078" spans="2:2" hidden="1" x14ac:dyDescent="0.35">
      <c r="B1078"/>
    </row>
    <row r="1079" spans="2:2" hidden="1" x14ac:dyDescent="0.35">
      <c r="B1079"/>
    </row>
    <row r="1080" spans="2:2" hidden="1" x14ac:dyDescent="0.35">
      <c r="B1080"/>
    </row>
    <row r="1081" spans="2:2" hidden="1" x14ac:dyDescent="0.35">
      <c r="B1081"/>
    </row>
    <row r="1082" spans="2:2" hidden="1" x14ac:dyDescent="0.35">
      <c r="B1082"/>
    </row>
    <row r="1083" spans="2:2" hidden="1" x14ac:dyDescent="0.35">
      <c r="B1083"/>
    </row>
    <row r="1084" spans="2:2" hidden="1" x14ac:dyDescent="0.35">
      <c r="B1084"/>
    </row>
    <row r="1085" spans="2:2" hidden="1" x14ac:dyDescent="0.35">
      <c r="B1085"/>
    </row>
    <row r="1086" spans="2:2" hidden="1" x14ac:dyDescent="0.35">
      <c r="B1086"/>
    </row>
    <row r="1087" spans="2:2" hidden="1" x14ac:dyDescent="0.35">
      <c r="B1087"/>
    </row>
    <row r="1088" spans="2:2" hidden="1" x14ac:dyDescent="0.35">
      <c r="B1088"/>
    </row>
    <row r="1089" spans="2:2" hidden="1" x14ac:dyDescent="0.35">
      <c r="B1089"/>
    </row>
    <row r="1090" spans="2:2" hidden="1" x14ac:dyDescent="0.35">
      <c r="B1090"/>
    </row>
    <row r="1091" spans="2:2" hidden="1" x14ac:dyDescent="0.35">
      <c r="B1091"/>
    </row>
    <row r="1092" spans="2:2" hidden="1" x14ac:dyDescent="0.35">
      <c r="B1092"/>
    </row>
    <row r="1093" spans="2:2" hidden="1" x14ac:dyDescent="0.35">
      <c r="B1093"/>
    </row>
    <row r="1094" spans="2:2" hidden="1" x14ac:dyDescent="0.35">
      <c r="B1094"/>
    </row>
    <row r="1095" spans="2:2" hidden="1" x14ac:dyDescent="0.35">
      <c r="B1095"/>
    </row>
    <row r="1096" spans="2:2" hidden="1" x14ac:dyDescent="0.35">
      <c r="B1096"/>
    </row>
    <row r="1097" spans="2:2" hidden="1" x14ac:dyDescent="0.35">
      <c r="B1097"/>
    </row>
    <row r="1098" spans="2:2" hidden="1" x14ac:dyDescent="0.35">
      <c r="B1098"/>
    </row>
    <row r="1099" spans="2:2" hidden="1" x14ac:dyDescent="0.35">
      <c r="B1099"/>
    </row>
    <row r="1100" spans="2:2" hidden="1" x14ac:dyDescent="0.35">
      <c r="B1100"/>
    </row>
    <row r="1101" spans="2:2" hidden="1" x14ac:dyDescent="0.35">
      <c r="B1101"/>
    </row>
    <row r="1102" spans="2:2" hidden="1" x14ac:dyDescent="0.35">
      <c r="B1102"/>
    </row>
    <row r="1103" spans="2:2" hidden="1" x14ac:dyDescent="0.35">
      <c r="B1103"/>
    </row>
    <row r="1104" spans="2:2" hidden="1" x14ac:dyDescent="0.35">
      <c r="B1104"/>
    </row>
    <row r="1105" spans="2:2" hidden="1" x14ac:dyDescent="0.35">
      <c r="B1105"/>
    </row>
    <row r="1106" spans="2:2" hidden="1" x14ac:dyDescent="0.35">
      <c r="B1106"/>
    </row>
    <row r="1107" spans="2:2" hidden="1" x14ac:dyDescent="0.35">
      <c r="B1107"/>
    </row>
    <row r="1108" spans="2:2" hidden="1" x14ac:dyDescent="0.35">
      <c r="B1108"/>
    </row>
    <row r="1109" spans="2:2" hidden="1" x14ac:dyDescent="0.35">
      <c r="B1109"/>
    </row>
    <row r="1110" spans="2:2" hidden="1" x14ac:dyDescent="0.35">
      <c r="B1110"/>
    </row>
    <row r="1111" spans="2:2" hidden="1" x14ac:dyDescent="0.35">
      <c r="B1111"/>
    </row>
    <row r="1112" spans="2:2" hidden="1" x14ac:dyDescent="0.35">
      <c r="B1112"/>
    </row>
    <row r="1113" spans="2:2" hidden="1" x14ac:dyDescent="0.35">
      <c r="B1113"/>
    </row>
    <row r="1114" spans="2:2" hidden="1" x14ac:dyDescent="0.35">
      <c r="B1114"/>
    </row>
    <row r="1115" spans="2:2" hidden="1" x14ac:dyDescent="0.35">
      <c r="B1115"/>
    </row>
    <row r="1116" spans="2:2" hidden="1" x14ac:dyDescent="0.35">
      <c r="B1116"/>
    </row>
    <row r="1117" spans="2:2" hidden="1" x14ac:dyDescent="0.35">
      <c r="B1117"/>
    </row>
    <row r="1118" spans="2:2" hidden="1" x14ac:dyDescent="0.35">
      <c r="B1118"/>
    </row>
    <row r="1119" spans="2:2" hidden="1" x14ac:dyDescent="0.35">
      <c r="B1119"/>
    </row>
    <row r="1120" spans="2:2" hidden="1" x14ac:dyDescent="0.35">
      <c r="B1120"/>
    </row>
    <row r="1121" spans="2:2" hidden="1" x14ac:dyDescent="0.35">
      <c r="B1121"/>
    </row>
    <row r="1122" spans="2:2" hidden="1" x14ac:dyDescent="0.35">
      <c r="B1122"/>
    </row>
    <row r="1123" spans="2:2" hidden="1" x14ac:dyDescent="0.35">
      <c r="B1123"/>
    </row>
    <row r="1124" spans="2:2" hidden="1" x14ac:dyDescent="0.35">
      <c r="B1124"/>
    </row>
    <row r="1125" spans="2:2" hidden="1" x14ac:dyDescent="0.35">
      <c r="B1125"/>
    </row>
    <row r="1126" spans="2:2" hidden="1" x14ac:dyDescent="0.35">
      <c r="B1126"/>
    </row>
    <row r="1127" spans="2:2" hidden="1" x14ac:dyDescent="0.35">
      <c r="B1127"/>
    </row>
    <row r="1128" spans="2:2" hidden="1" x14ac:dyDescent="0.35">
      <c r="B1128"/>
    </row>
    <row r="1129" spans="2:2" hidden="1" x14ac:dyDescent="0.35">
      <c r="B1129"/>
    </row>
    <row r="1130" spans="2:2" hidden="1" x14ac:dyDescent="0.35">
      <c r="B1130"/>
    </row>
    <row r="1131" spans="2:2" hidden="1" x14ac:dyDescent="0.35">
      <c r="B1131"/>
    </row>
    <row r="1132" spans="2:2" hidden="1" x14ac:dyDescent="0.35">
      <c r="B1132"/>
    </row>
    <row r="1133" spans="2:2" hidden="1" x14ac:dyDescent="0.35">
      <c r="B1133"/>
    </row>
    <row r="1134" spans="2:2" hidden="1" x14ac:dyDescent="0.35">
      <c r="B1134"/>
    </row>
    <row r="1135" spans="2:2" hidden="1" x14ac:dyDescent="0.35">
      <c r="B1135"/>
    </row>
    <row r="1136" spans="2:2" hidden="1" x14ac:dyDescent="0.35">
      <c r="B1136"/>
    </row>
    <row r="1137" spans="2:2" hidden="1" x14ac:dyDescent="0.35">
      <c r="B1137"/>
    </row>
    <row r="1138" spans="2:2" hidden="1" x14ac:dyDescent="0.35">
      <c r="B1138"/>
    </row>
    <row r="1139" spans="2:2" hidden="1" x14ac:dyDescent="0.35">
      <c r="B1139"/>
    </row>
    <row r="1140" spans="2:2" hidden="1" x14ac:dyDescent="0.35">
      <c r="B1140"/>
    </row>
    <row r="1141" spans="2:2" hidden="1" x14ac:dyDescent="0.35">
      <c r="B1141"/>
    </row>
    <row r="1142" spans="2:2" hidden="1" x14ac:dyDescent="0.35">
      <c r="B1142"/>
    </row>
    <row r="1143" spans="2:2" hidden="1" x14ac:dyDescent="0.35">
      <c r="B1143"/>
    </row>
    <row r="1144" spans="2:2" hidden="1" x14ac:dyDescent="0.35">
      <c r="B1144"/>
    </row>
    <row r="1145" spans="2:2" hidden="1" x14ac:dyDescent="0.35">
      <c r="B1145"/>
    </row>
    <row r="1146" spans="2:2" hidden="1" x14ac:dyDescent="0.35">
      <c r="B1146"/>
    </row>
    <row r="1147" spans="2:2" hidden="1" x14ac:dyDescent="0.35">
      <c r="B1147"/>
    </row>
    <row r="1148" spans="2:2" hidden="1" x14ac:dyDescent="0.35">
      <c r="B1148"/>
    </row>
    <row r="1149" spans="2:2" hidden="1" x14ac:dyDescent="0.35">
      <c r="B1149"/>
    </row>
    <row r="1150" spans="2:2" hidden="1" x14ac:dyDescent="0.35">
      <c r="B1150"/>
    </row>
    <row r="1151" spans="2:2" hidden="1" x14ac:dyDescent="0.35">
      <c r="B1151"/>
    </row>
    <row r="1152" spans="2:2" hidden="1" x14ac:dyDescent="0.35">
      <c r="B1152"/>
    </row>
    <row r="1153" spans="2:2" hidden="1" x14ac:dyDescent="0.35">
      <c r="B1153"/>
    </row>
    <row r="1154" spans="2:2" hidden="1" x14ac:dyDescent="0.35">
      <c r="B1154"/>
    </row>
    <row r="1155" spans="2:2" hidden="1" x14ac:dyDescent="0.35">
      <c r="B1155"/>
    </row>
    <row r="1156" spans="2:2" hidden="1" x14ac:dyDescent="0.35">
      <c r="B1156"/>
    </row>
    <row r="1157" spans="2:2" hidden="1" x14ac:dyDescent="0.35">
      <c r="B1157"/>
    </row>
    <row r="1158" spans="2:2" hidden="1" x14ac:dyDescent="0.35">
      <c r="B1158"/>
    </row>
    <row r="1159" spans="2:2" hidden="1" x14ac:dyDescent="0.35">
      <c r="B1159"/>
    </row>
    <row r="1160" spans="2:2" hidden="1" x14ac:dyDescent="0.35">
      <c r="B1160"/>
    </row>
    <row r="1161" spans="2:2" hidden="1" x14ac:dyDescent="0.35">
      <c r="B1161"/>
    </row>
    <row r="1162" spans="2:2" hidden="1" x14ac:dyDescent="0.35">
      <c r="B1162"/>
    </row>
    <row r="1163" spans="2:2" hidden="1" x14ac:dyDescent="0.35">
      <c r="B1163"/>
    </row>
    <row r="1164" spans="2:2" hidden="1" x14ac:dyDescent="0.35">
      <c r="B1164"/>
    </row>
    <row r="1165" spans="2:2" hidden="1" x14ac:dyDescent="0.35">
      <c r="B1165"/>
    </row>
    <row r="1166" spans="2:2" hidden="1" x14ac:dyDescent="0.35">
      <c r="B1166"/>
    </row>
    <row r="1167" spans="2:2" hidden="1" x14ac:dyDescent="0.35">
      <c r="B1167"/>
    </row>
    <row r="1168" spans="2:2" hidden="1" x14ac:dyDescent="0.35">
      <c r="B1168"/>
    </row>
    <row r="1169" spans="2:2" hidden="1" x14ac:dyDescent="0.35">
      <c r="B1169"/>
    </row>
    <row r="1170" spans="2:2" hidden="1" x14ac:dyDescent="0.35">
      <c r="B1170"/>
    </row>
    <row r="1171" spans="2:2" hidden="1" x14ac:dyDescent="0.35">
      <c r="B1171"/>
    </row>
    <row r="1172" spans="2:2" hidden="1" x14ac:dyDescent="0.35">
      <c r="B1172"/>
    </row>
    <row r="1173" spans="2:2" hidden="1" x14ac:dyDescent="0.35">
      <c r="B1173"/>
    </row>
    <row r="1174" spans="2:2" hidden="1" x14ac:dyDescent="0.35">
      <c r="B1174"/>
    </row>
    <row r="1175" spans="2:2" hidden="1" x14ac:dyDescent="0.35">
      <c r="B1175"/>
    </row>
    <row r="1176" spans="2:2" hidden="1" x14ac:dyDescent="0.35">
      <c r="B1176"/>
    </row>
    <row r="1177" spans="2:2" hidden="1" x14ac:dyDescent="0.35">
      <c r="B1177"/>
    </row>
    <row r="1178" spans="2:2" hidden="1" x14ac:dyDescent="0.35">
      <c r="B1178"/>
    </row>
    <row r="1179" spans="2:2" hidden="1" x14ac:dyDescent="0.35">
      <c r="B1179"/>
    </row>
    <row r="1180" spans="2:2" hidden="1" x14ac:dyDescent="0.35">
      <c r="B1180"/>
    </row>
    <row r="1181" spans="2:2" hidden="1" x14ac:dyDescent="0.35">
      <c r="B1181"/>
    </row>
    <row r="1182" spans="2:2" hidden="1" x14ac:dyDescent="0.35">
      <c r="B1182"/>
    </row>
    <row r="1183" spans="2:2" hidden="1" x14ac:dyDescent="0.35">
      <c r="B1183"/>
    </row>
    <row r="1184" spans="2:2" hidden="1" x14ac:dyDescent="0.35">
      <c r="B1184"/>
    </row>
    <row r="1185" spans="2:2" hidden="1" x14ac:dyDescent="0.35">
      <c r="B1185"/>
    </row>
    <row r="1186" spans="2:2" hidden="1" x14ac:dyDescent="0.35">
      <c r="B1186"/>
    </row>
    <row r="1187" spans="2:2" hidden="1" x14ac:dyDescent="0.35">
      <c r="B1187"/>
    </row>
    <row r="1188" spans="2:2" hidden="1" x14ac:dyDescent="0.35">
      <c r="B1188"/>
    </row>
    <row r="1189" spans="2:2" hidden="1" x14ac:dyDescent="0.35">
      <c r="B1189"/>
    </row>
    <row r="1190" spans="2:2" hidden="1" x14ac:dyDescent="0.35">
      <c r="B1190"/>
    </row>
    <row r="1191" spans="2:2" hidden="1" x14ac:dyDescent="0.35">
      <c r="B1191"/>
    </row>
    <row r="1192" spans="2:2" hidden="1" x14ac:dyDescent="0.35">
      <c r="B1192"/>
    </row>
    <row r="1193" spans="2:2" hidden="1" x14ac:dyDescent="0.35">
      <c r="B1193"/>
    </row>
    <row r="1194" spans="2:2" hidden="1" x14ac:dyDescent="0.35">
      <c r="B1194"/>
    </row>
    <row r="1195" spans="2:2" hidden="1" x14ac:dyDescent="0.35">
      <c r="B1195"/>
    </row>
    <row r="1196" spans="2:2" hidden="1" x14ac:dyDescent="0.35">
      <c r="B1196"/>
    </row>
    <row r="1197" spans="2:2" hidden="1" x14ac:dyDescent="0.35">
      <c r="B1197"/>
    </row>
    <row r="1198" spans="2:2" hidden="1" x14ac:dyDescent="0.35">
      <c r="B1198"/>
    </row>
    <row r="1199" spans="2:2" hidden="1" x14ac:dyDescent="0.35">
      <c r="B1199"/>
    </row>
    <row r="1200" spans="2:2" hidden="1" x14ac:dyDescent="0.35">
      <c r="B1200"/>
    </row>
    <row r="1201" spans="2:2" hidden="1" x14ac:dyDescent="0.35">
      <c r="B1201"/>
    </row>
    <row r="1202" spans="2:2" hidden="1" x14ac:dyDescent="0.35">
      <c r="B1202"/>
    </row>
    <row r="1203" spans="2:2" hidden="1" x14ac:dyDescent="0.35">
      <c r="B1203"/>
    </row>
    <row r="1204" spans="2:2" hidden="1" x14ac:dyDescent="0.35">
      <c r="B1204"/>
    </row>
    <row r="1205" spans="2:2" hidden="1" x14ac:dyDescent="0.35">
      <c r="B1205"/>
    </row>
    <row r="1206" spans="2:2" hidden="1" x14ac:dyDescent="0.35">
      <c r="B1206"/>
    </row>
    <row r="1207" spans="2:2" hidden="1" x14ac:dyDescent="0.35">
      <c r="B1207"/>
    </row>
    <row r="1208" spans="2:2" hidden="1" x14ac:dyDescent="0.35">
      <c r="B1208"/>
    </row>
    <row r="1209" spans="2:2" hidden="1" x14ac:dyDescent="0.35">
      <c r="B1209"/>
    </row>
    <row r="1210" spans="2:2" hidden="1" x14ac:dyDescent="0.35">
      <c r="B1210"/>
    </row>
    <row r="1211" spans="2:2" hidden="1" x14ac:dyDescent="0.35">
      <c r="B1211"/>
    </row>
    <row r="1212" spans="2:2" hidden="1" x14ac:dyDescent="0.35">
      <c r="B1212"/>
    </row>
    <row r="1213" spans="2:2" hidden="1" x14ac:dyDescent="0.35">
      <c r="B1213"/>
    </row>
    <row r="1214" spans="2:2" hidden="1" x14ac:dyDescent="0.35">
      <c r="B1214"/>
    </row>
    <row r="1215" spans="2:2" hidden="1" x14ac:dyDescent="0.35">
      <c r="B1215"/>
    </row>
    <row r="1216" spans="2:2" hidden="1" x14ac:dyDescent="0.35">
      <c r="B1216"/>
    </row>
    <row r="1217" spans="2:2" hidden="1" x14ac:dyDescent="0.35">
      <c r="B1217"/>
    </row>
    <row r="1218" spans="2:2" hidden="1" x14ac:dyDescent="0.35">
      <c r="B1218"/>
    </row>
    <row r="1219" spans="2:2" hidden="1" x14ac:dyDescent="0.35">
      <c r="B1219"/>
    </row>
    <row r="1220" spans="2:2" hidden="1" x14ac:dyDescent="0.35">
      <c r="B1220"/>
    </row>
    <row r="1221" spans="2:2" hidden="1" x14ac:dyDescent="0.35">
      <c r="B1221"/>
    </row>
    <row r="1222" spans="2:2" hidden="1" x14ac:dyDescent="0.35">
      <c r="B1222"/>
    </row>
    <row r="1223" spans="2:2" hidden="1" x14ac:dyDescent="0.35">
      <c r="B1223"/>
    </row>
    <row r="1224" spans="2:2" hidden="1" x14ac:dyDescent="0.35">
      <c r="B1224"/>
    </row>
    <row r="1225" spans="2:2" hidden="1" x14ac:dyDescent="0.35">
      <c r="B1225"/>
    </row>
    <row r="1226" spans="2:2" hidden="1" x14ac:dyDescent="0.35">
      <c r="B1226"/>
    </row>
    <row r="1227" spans="2:2" hidden="1" x14ac:dyDescent="0.35">
      <c r="B1227"/>
    </row>
    <row r="1228" spans="2:2" hidden="1" x14ac:dyDescent="0.35">
      <c r="B1228"/>
    </row>
    <row r="1229" spans="2:2" hidden="1" x14ac:dyDescent="0.35">
      <c r="B1229"/>
    </row>
    <row r="1230" spans="2:2" hidden="1" x14ac:dyDescent="0.35">
      <c r="B1230"/>
    </row>
    <row r="1231" spans="2:2" hidden="1" x14ac:dyDescent="0.35">
      <c r="B1231"/>
    </row>
    <row r="1232" spans="2:2" hidden="1" x14ac:dyDescent="0.35">
      <c r="B1232"/>
    </row>
    <row r="1233" spans="2:2" hidden="1" x14ac:dyDescent="0.35">
      <c r="B1233"/>
    </row>
    <row r="1234" spans="2:2" hidden="1" x14ac:dyDescent="0.35">
      <c r="B1234"/>
    </row>
    <row r="1235" spans="2:2" hidden="1" x14ac:dyDescent="0.35">
      <c r="B1235"/>
    </row>
    <row r="1236" spans="2:2" hidden="1" x14ac:dyDescent="0.35">
      <c r="B1236"/>
    </row>
    <row r="1237" spans="2:2" hidden="1" x14ac:dyDescent="0.35">
      <c r="B1237"/>
    </row>
    <row r="1238" spans="2:2" hidden="1" x14ac:dyDescent="0.35">
      <c r="B1238"/>
    </row>
    <row r="1239" spans="2:2" hidden="1" x14ac:dyDescent="0.35">
      <c r="B1239"/>
    </row>
    <row r="1240" spans="2:2" hidden="1" x14ac:dyDescent="0.35">
      <c r="B1240"/>
    </row>
    <row r="1241" spans="2:2" hidden="1" x14ac:dyDescent="0.35">
      <c r="B1241"/>
    </row>
    <row r="1242" spans="2:2" hidden="1" x14ac:dyDescent="0.35">
      <c r="B1242"/>
    </row>
    <row r="1243" spans="2:2" hidden="1" x14ac:dyDescent="0.35">
      <c r="B1243"/>
    </row>
    <row r="1244" spans="2:2" hidden="1" x14ac:dyDescent="0.35">
      <c r="B1244"/>
    </row>
    <row r="1245" spans="2:2" hidden="1" x14ac:dyDescent="0.35">
      <c r="B1245"/>
    </row>
    <row r="1246" spans="2:2" hidden="1" x14ac:dyDescent="0.35">
      <c r="B1246"/>
    </row>
    <row r="1247" spans="2:2" hidden="1" x14ac:dyDescent="0.35">
      <c r="B1247"/>
    </row>
    <row r="1248" spans="2:2" hidden="1" x14ac:dyDescent="0.35">
      <c r="B1248"/>
    </row>
    <row r="1249" spans="2:2" hidden="1" x14ac:dyDescent="0.35">
      <c r="B1249"/>
    </row>
    <row r="1250" spans="2:2" hidden="1" x14ac:dyDescent="0.35">
      <c r="B1250"/>
    </row>
    <row r="1251" spans="2:2" hidden="1" x14ac:dyDescent="0.35">
      <c r="B1251"/>
    </row>
    <row r="1252" spans="2:2" hidden="1" x14ac:dyDescent="0.35">
      <c r="B1252"/>
    </row>
    <row r="1253" spans="2:2" hidden="1" x14ac:dyDescent="0.35">
      <c r="B1253"/>
    </row>
    <row r="1254" spans="2:2" hidden="1" x14ac:dyDescent="0.35">
      <c r="B1254"/>
    </row>
    <row r="1255" spans="2:2" hidden="1" x14ac:dyDescent="0.35">
      <c r="B1255"/>
    </row>
    <row r="1256" spans="2:2" hidden="1" x14ac:dyDescent="0.35">
      <c r="B1256"/>
    </row>
    <row r="1257" spans="2:2" hidden="1" x14ac:dyDescent="0.35">
      <c r="B1257"/>
    </row>
    <row r="1258" spans="2:2" hidden="1" x14ac:dyDescent="0.35">
      <c r="B1258"/>
    </row>
    <row r="1259" spans="2:2" hidden="1" x14ac:dyDescent="0.35">
      <c r="B1259"/>
    </row>
    <row r="1260" spans="2:2" hidden="1" x14ac:dyDescent="0.35">
      <c r="B1260"/>
    </row>
    <row r="1261" spans="2:2" hidden="1" x14ac:dyDescent="0.35">
      <c r="B1261"/>
    </row>
    <row r="1262" spans="2:2" hidden="1" x14ac:dyDescent="0.35">
      <c r="B1262"/>
    </row>
    <row r="1263" spans="2:2" hidden="1" x14ac:dyDescent="0.35">
      <c r="B1263"/>
    </row>
    <row r="1264" spans="2:2" hidden="1" x14ac:dyDescent="0.35">
      <c r="B1264"/>
    </row>
    <row r="1265" spans="2:2" hidden="1" x14ac:dyDescent="0.35">
      <c r="B1265"/>
    </row>
    <row r="1266" spans="2:2" hidden="1" x14ac:dyDescent="0.35">
      <c r="B1266"/>
    </row>
    <row r="1267" spans="2:2" hidden="1" x14ac:dyDescent="0.35">
      <c r="B1267"/>
    </row>
    <row r="1268" spans="2:2" hidden="1" x14ac:dyDescent="0.35">
      <c r="B1268"/>
    </row>
    <row r="1269" spans="2:2" hidden="1" x14ac:dyDescent="0.35">
      <c r="B1269"/>
    </row>
    <row r="1270" spans="2:2" hidden="1" x14ac:dyDescent="0.35">
      <c r="B1270"/>
    </row>
    <row r="1271" spans="2:2" hidden="1" x14ac:dyDescent="0.35">
      <c r="B1271"/>
    </row>
    <row r="1272" spans="2:2" hidden="1" x14ac:dyDescent="0.35">
      <c r="B1272"/>
    </row>
    <row r="1273" spans="2:2" hidden="1" x14ac:dyDescent="0.35">
      <c r="B1273"/>
    </row>
    <row r="1274" spans="2:2" hidden="1" x14ac:dyDescent="0.35">
      <c r="B1274"/>
    </row>
    <row r="1275" spans="2:2" hidden="1" x14ac:dyDescent="0.35">
      <c r="B1275"/>
    </row>
    <row r="1276" spans="2:2" hidden="1" x14ac:dyDescent="0.35">
      <c r="B1276"/>
    </row>
    <row r="1277" spans="2:2" hidden="1" x14ac:dyDescent="0.35">
      <c r="B1277"/>
    </row>
    <row r="1278" spans="2:2" hidden="1" x14ac:dyDescent="0.35">
      <c r="B1278"/>
    </row>
    <row r="1279" spans="2:2" hidden="1" x14ac:dyDescent="0.35">
      <c r="B1279"/>
    </row>
    <row r="1280" spans="2:2" hidden="1" x14ac:dyDescent="0.35">
      <c r="B1280"/>
    </row>
    <row r="1281" spans="2:2" hidden="1" x14ac:dyDescent="0.35">
      <c r="B1281"/>
    </row>
    <row r="1282" spans="2:2" hidden="1" x14ac:dyDescent="0.35">
      <c r="B1282"/>
    </row>
    <row r="1283" spans="2:2" hidden="1" x14ac:dyDescent="0.35">
      <c r="B1283"/>
    </row>
    <row r="1284" spans="2:2" hidden="1" x14ac:dyDescent="0.35">
      <c r="B1284"/>
    </row>
    <row r="1285" spans="2:2" hidden="1" x14ac:dyDescent="0.35">
      <c r="B1285"/>
    </row>
    <row r="1286" spans="2:2" hidden="1" x14ac:dyDescent="0.35">
      <c r="B1286"/>
    </row>
    <row r="1287" spans="2:2" hidden="1" x14ac:dyDescent="0.35">
      <c r="B1287"/>
    </row>
    <row r="1288" spans="2:2" hidden="1" x14ac:dyDescent="0.35">
      <c r="B1288"/>
    </row>
    <row r="1289" spans="2:2" hidden="1" x14ac:dyDescent="0.35">
      <c r="B1289"/>
    </row>
    <row r="1290" spans="2:2" hidden="1" x14ac:dyDescent="0.35">
      <c r="B1290"/>
    </row>
    <row r="1291" spans="2:2" hidden="1" x14ac:dyDescent="0.35">
      <c r="B1291"/>
    </row>
    <row r="1292" spans="2:2" hidden="1" x14ac:dyDescent="0.35">
      <c r="B1292"/>
    </row>
    <row r="1293" spans="2:2" hidden="1" x14ac:dyDescent="0.35">
      <c r="B1293"/>
    </row>
    <row r="1294" spans="2:2" hidden="1" x14ac:dyDescent="0.35">
      <c r="B1294"/>
    </row>
    <row r="1295" spans="2:2" hidden="1" x14ac:dyDescent="0.35">
      <c r="B1295"/>
    </row>
    <row r="1296" spans="2:2" hidden="1" x14ac:dyDescent="0.35">
      <c r="B1296"/>
    </row>
    <row r="1297" spans="2:2" hidden="1" x14ac:dyDescent="0.35">
      <c r="B1297"/>
    </row>
    <row r="1298" spans="2:2" hidden="1" x14ac:dyDescent="0.35">
      <c r="B1298"/>
    </row>
    <row r="1299" spans="2:2" hidden="1" x14ac:dyDescent="0.35">
      <c r="B1299"/>
    </row>
    <row r="1300" spans="2:2" hidden="1" x14ac:dyDescent="0.35">
      <c r="B1300"/>
    </row>
    <row r="1301" spans="2:2" hidden="1" x14ac:dyDescent="0.35">
      <c r="B1301"/>
    </row>
    <row r="1302" spans="2:2" hidden="1" x14ac:dyDescent="0.35">
      <c r="B1302"/>
    </row>
    <row r="1303" spans="2:2" hidden="1" x14ac:dyDescent="0.35">
      <c r="B1303"/>
    </row>
    <row r="1304" spans="2:2" hidden="1" x14ac:dyDescent="0.35">
      <c r="B1304"/>
    </row>
    <row r="1305" spans="2:2" hidden="1" x14ac:dyDescent="0.35">
      <c r="B1305"/>
    </row>
    <row r="1306" spans="2:2" hidden="1" x14ac:dyDescent="0.35">
      <c r="B1306"/>
    </row>
    <row r="1307" spans="2:2" hidden="1" x14ac:dyDescent="0.35">
      <c r="B1307"/>
    </row>
    <row r="1308" spans="2:2" hidden="1" x14ac:dyDescent="0.35">
      <c r="B1308"/>
    </row>
    <row r="1309" spans="2:2" hidden="1" x14ac:dyDescent="0.35">
      <c r="B1309"/>
    </row>
    <row r="1310" spans="2:2" hidden="1" x14ac:dyDescent="0.35">
      <c r="B1310"/>
    </row>
    <row r="1311" spans="2:2" hidden="1" x14ac:dyDescent="0.35">
      <c r="B1311"/>
    </row>
    <row r="1312" spans="2:2" hidden="1" x14ac:dyDescent="0.35">
      <c r="B1312"/>
    </row>
    <row r="1313" spans="2:2" hidden="1" x14ac:dyDescent="0.35">
      <c r="B1313"/>
    </row>
    <row r="1314" spans="2:2" hidden="1" x14ac:dyDescent="0.35">
      <c r="B1314"/>
    </row>
    <row r="1315" spans="2:2" hidden="1" x14ac:dyDescent="0.35">
      <c r="B1315"/>
    </row>
    <row r="1316" spans="2:2" hidden="1" x14ac:dyDescent="0.35">
      <c r="B1316"/>
    </row>
    <row r="1317" spans="2:2" hidden="1" x14ac:dyDescent="0.35">
      <c r="B1317"/>
    </row>
    <row r="1318" spans="2:2" hidden="1" x14ac:dyDescent="0.35">
      <c r="B1318"/>
    </row>
    <row r="1319" spans="2:2" hidden="1" x14ac:dyDescent="0.35">
      <c r="B1319"/>
    </row>
    <row r="1320" spans="2:2" hidden="1" x14ac:dyDescent="0.35">
      <c r="B1320"/>
    </row>
    <row r="1321" spans="2:2" hidden="1" x14ac:dyDescent="0.35">
      <c r="B1321"/>
    </row>
    <row r="1322" spans="2:2" hidden="1" x14ac:dyDescent="0.35">
      <c r="B1322"/>
    </row>
    <row r="1323" spans="2:2" hidden="1" x14ac:dyDescent="0.35">
      <c r="B1323"/>
    </row>
    <row r="1324" spans="2:2" hidden="1" x14ac:dyDescent="0.35">
      <c r="B1324"/>
    </row>
    <row r="1325" spans="2:2" hidden="1" x14ac:dyDescent="0.35">
      <c r="B1325"/>
    </row>
    <row r="1326" spans="2:2" hidden="1" x14ac:dyDescent="0.35">
      <c r="B1326"/>
    </row>
    <row r="1327" spans="2:2" hidden="1" x14ac:dyDescent="0.35">
      <c r="B1327"/>
    </row>
    <row r="1328" spans="2:2" hidden="1" x14ac:dyDescent="0.35">
      <c r="B1328"/>
    </row>
    <row r="1329" spans="2:2" hidden="1" x14ac:dyDescent="0.35">
      <c r="B1329"/>
    </row>
    <row r="1330" spans="2:2" hidden="1" x14ac:dyDescent="0.35">
      <c r="B1330"/>
    </row>
    <row r="1331" spans="2:2" hidden="1" x14ac:dyDescent="0.35">
      <c r="B1331"/>
    </row>
    <row r="1332" spans="2:2" hidden="1" x14ac:dyDescent="0.35">
      <c r="B1332"/>
    </row>
    <row r="1333" spans="2:2" hidden="1" x14ac:dyDescent="0.35">
      <c r="B1333"/>
    </row>
    <row r="1334" spans="2:2" hidden="1" x14ac:dyDescent="0.35">
      <c r="B1334"/>
    </row>
    <row r="1335" spans="2:2" hidden="1" x14ac:dyDescent="0.35">
      <c r="B1335"/>
    </row>
    <row r="1336" spans="2:2" hidden="1" x14ac:dyDescent="0.35">
      <c r="B1336"/>
    </row>
    <row r="1337" spans="2:2" hidden="1" x14ac:dyDescent="0.35">
      <c r="B1337"/>
    </row>
    <row r="1338" spans="2:2" hidden="1" x14ac:dyDescent="0.35">
      <c r="B1338"/>
    </row>
    <row r="1339" spans="2:2" hidden="1" x14ac:dyDescent="0.35">
      <c r="B1339"/>
    </row>
    <row r="1340" spans="2:2" hidden="1" x14ac:dyDescent="0.35">
      <c r="B1340"/>
    </row>
    <row r="1341" spans="2:2" hidden="1" x14ac:dyDescent="0.35">
      <c r="B1341"/>
    </row>
    <row r="1342" spans="2:2" hidden="1" x14ac:dyDescent="0.35">
      <c r="B1342"/>
    </row>
    <row r="1343" spans="2:2" hidden="1" x14ac:dyDescent="0.35">
      <c r="B1343"/>
    </row>
    <row r="1344" spans="2:2" hidden="1" x14ac:dyDescent="0.35">
      <c r="B1344"/>
    </row>
    <row r="1345" spans="2:2" hidden="1" x14ac:dyDescent="0.35">
      <c r="B1345"/>
    </row>
    <row r="1346" spans="2:2" hidden="1" x14ac:dyDescent="0.35">
      <c r="B1346"/>
    </row>
    <row r="1347" spans="2:2" hidden="1" x14ac:dyDescent="0.35">
      <c r="B1347"/>
    </row>
    <row r="1348" spans="2:2" hidden="1" x14ac:dyDescent="0.35">
      <c r="B1348"/>
    </row>
    <row r="1349" spans="2:2" hidden="1" x14ac:dyDescent="0.35">
      <c r="B1349"/>
    </row>
    <row r="1350" spans="2:2" hidden="1" x14ac:dyDescent="0.35">
      <c r="B1350"/>
    </row>
    <row r="1351" spans="2:2" hidden="1" x14ac:dyDescent="0.35">
      <c r="B1351"/>
    </row>
    <row r="1352" spans="2:2" hidden="1" x14ac:dyDescent="0.35">
      <c r="B1352"/>
    </row>
    <row r="1353" spans="2:2" hidden="1" x14ac:dyDescent="0.35">
      <c r="B1353"/>
    </row>
    <row r="1354" spans="2:2" hidden="1" x14ac:dyDescent="0.35">
      <c r="B1354"/>
    </row>
    <row r="1355" spans="2:2" hidden="1" x14ac:dyDescent="0.35">
      <c r="B1355"/>
    </row>
    <row r="1356" spans="2:2" hidden="1" x14ac:dyDescent="0.35">
      <c r="B1356"/>
    </row>
    <row r="1357" spans="2:2" hidden="1" x14ac:dyDescent="0.35">
      <c r="B1357"/>
    </row>
    <row r="1358" spans="2:2" hidden="1" x14ac:dyDescent="0.35">
      <c r="B1358"/>
    </row>
    <row r="1359" spans="2:2" hidden="1" x14ac:dyDescent="0.35">
      <c r="B1359"/>
    </row>
    <row r="1360" spans="2:2" hidden="1" x14ac:dyDescent="0.35">
      <c r="B1360"/>
    </row>
    <row r="1361" spans="2:2" hidden="1" x14ac:dyDescent="0.35">
      <c r="B1361"/>
    </row>
    <row r="1362" spans="2:2" hidden="1" x14ac:dyDescent="0.35">
      <c r="B1362"/>
    </row>
    <row r="1363" spans="2:2" hidden="1" x14ac:dyDescent="0.35">
      <c r="B1363"/>
    </row>
    <row r="1364" spans="2:2" hidden="1" x14ac:dyDescent="0.35">
      <c r="B1364"/>
    </row>
    <row r="1365" spans="2:2" hidden="1" x14ac:dyDescent="0.35">
      <c r="B1365"/>
    </row>
    <row r="1366" spans="2:2" hidden="1" x14ac:dyDescent="0.35">
      <c r="B1366"/>
    </row>
    <row r="1367" spans="2:2" hidden="1" x14ac:dyDescent="0.35">
      <c r="B1367"/>
    </row>
    <row r="1368" spans="2:2" hidden="1" x14ac:dyDescent="0.35">
      <c r="B1368"/>
    </row>
    <row r="1369" spans="2:2" hidden="1" x14ac:dyDescent="0.35">
      <c r="B1369"/>
    </row>
    <row r="1370" spans="2:2" hidden="1" x14ac:dyDescent="0.35">
      <c r="B1370"/>
    </row>
    <row r="1371" spans="2:2" hidden="1" x14ac:dyDescent="0.35">
      <c r="B1371"/>
    </row>
    <row r="1372" spans="2:2" hidden="1" x14ac:dyDescent="0.35">
      <c r="B1372"/>
    </row>
    <row r="1373" spans="2:2" hidden="1" x14ac:dyDescent="0.35">
      <c r="B1373"/>
    </row>
    <row r="1374" spans="2:2" hidden="1" x14ac:dyDescent="0.35">
      <c r="B1374"/>
    </row>
    <row r="1375" spans="2:2" hidden="1" x14ac:dyDescent="0.35">
      <c r="B1375"/>
    </row>
    <row r="1376" spans="2:2" hidden="1" x14ac:dyDescent="0.35">
      <c r="B1376"/>
    </row>
    <row r="1377" spans="2:2" hidden="1" x14ac:dyDescent="0.35">
      <c r="B1377"/>
    </row>
    <row r="1378" spans="2:2" hidden="1" x14ac:dyDescent="0.35">
      <c r="B1378"/>
    </row>
    <row r="1379" spans="2:2" hidden="1" x14ac:dyDescent="0.35">
      <c r="B1379"/>
    </row>
    <row r="1380" spans="2:2" hidden="1" x14ac:dyDescent="0.35">
      <c r="B1380"/>
    </row>
    <row r="1381" spans="2:2" hidden="1" x14ac:dyDescent="0.35">
      <c r="B1381"/>
    </row>
    <row r="1382" spans="2:2" hidden="1" x14ac:dyDescent="0.35">
      <c r="B1382"/>
    </row>
    <row r="1383" spans="2:2" hidden="1" x14ac:dyDescent="0.35">
      <c r="B1383"/>
    </row>
    <row r="1384" spans="2:2" hidden="1" x14ac:dyDescent="0.35">
      <c r="B1384"/>
    </row>
    <row r="1385" spans="2:2" hidden="1" x14ac:dyDescent="0.35">
      <c r="B1385"/>
    </row>
    <row r="1386" spans="2:2" hidden="1" x14ac:dyDescent="0.35">
      <c r="B1386"/>
    </row>
    <row r="1387" spans="2:2" hidden="1" x14ac:dyDescent="0.35">
      <c r="B1387"/>
    </row>
    <row r="1388" spans="2:2" hidden="1" x14ac:dyDescent="0.35">
      <c r="B1388"/>
    </row>
    <row r="1389" spans="2:2" hidden="1" x14ac:dyDescent="0.35">
      <c r="B1389"/>
    </row>
    <row r="1390" spans="2:2" hidden="1" x14ac:dyDescent="0.35">
      <c r="B1390"/>
    </row>
    <row r="1391" spans="2:2" hidden="1" x14ac:dyDescent="0.35">
      <c r="B1391"/>
    </row>
    <row r="1392" spans="2:2" hidden="1" x14ac:dyDescent="0.35">
      <c r="B1392"/>
    </row>
    <row r="1393" spans="2:2" hidden="1" x14ac:dyDescent="0.35">
      <c r="B1393"/>
    </row>
    <row r="1394" spans="2:2" hidden="1" x14ac:dyDescent="0.35">
      <c r="B1394"/>
    </row>
    <row r="1395" spans="2:2" hidden="1" x14ac:dyDescent="0.35">
      <c r="B1395"/>
    </row>
    <row r="1396" spans="2:2" hidden="1" x14ac:dyDescent="0.35">
      <c r="B1396"/>
    </row>
    <row r="1397" spans="2:2" hidden="1" x14ac:dyDescent="0.35">
      <c r="B1397"/>
    </row>
    <row r="1398" spans="2:2" hidden="1" x14ac:dyDescent="0.35">
      <c r="B1398"/>
    </row>
    <row r="1399" spans="2:2" hidden="1" x14ac:dyDescent="0.35">
      <c r="B1399"/>
    </row>
    <row r="1400" spans="2:2" hidden="1" x14ac:dyDescent="0.35">
      <c r="B1400"/>
    </row>
    <row r="1401" spans="2:2" hidden="1" x14ac:dyDescent="0.35">
      <c r="B1401"/>
    </row>
    <row r="1402" spans="2:2" hidden="1" x14ac:dyDescent="0.35">
      <c r="B1402"/>
    </row>
    <row r="1403" spans="2:2" hidden="1" x14ac:dyDescent="0.35">
      <c r="B1403"/>
    </row>
    <row r="1404" spans="2:2" hidden="1" x14ac:dyDescent="0.35">
      <c r="B1404"/>
    </row>
    <row r="1405" spans="2:2" hidden="1" x14ac:dyDescent="0.35">
      <c r="B1405"/>
    </row>
    <row r="1406" spans="2:2" hidden="1" x14ac:dyDescent="0.35">
      <c r="B1406"/>
    </row>
    <row r="1407" spans="2:2" hidden="1" x14ac:dyDescent="0.35">
      <c r="B1407"/>
    </row>
    <row r="1408" spans="2:2" hidden="1" x14ac:dyDescent="0.35">
      <c r="B1408"/>
    </row>
    <row r="1409" spans="2:2" hidden="1" x14ac:dyDescent="0.35">
      <c r="B1409"/>
    </row>
    <row r="1410" spans="2:2" hidden="1" x14ac:dyDescent="0.35">
      <c r="B1410"/>
    </row>
    <row r="1411" spans="2:2" hidden="1" x14ac:dyDescent="0.35">
      <c r="B1411"/>
    </row>
    <row r="1412" spans="2:2" hidden="1" x14ac:dyDescent="0.35">
      <c r="B1412"/>
    </row>
    <row r="1413" spans="2:2" hidden="1" x14ac:dyDescent="0.35">
      <c r="B1413"/>
    </row>
    <row r="1414" spans="2:2" hidden="1" x14ac:dyDescent="0.35">
      <c r="B1414"/>
    </row>
    <row r="1415" spans="2:2" hidden="1" x14ac:dyDescent="0.35">
      <c r="B1415"/>
    </row>
    <row r="1416" spans="2:2" hidden="1" x14ac:dyDescent="0.35">
      <c r="B1416"/>
    </row>
    <row r="1417" spans="2:2" hidden="1" x14ac:dyDescent="0.35">
      <c r="B1417"/>
    </row>
    <row r="1418" spans="2:2" hidden="1" x14ac:dyDescent="0.35">
      <c r="B1418"/>
    </row>
    <row r="1419" spans="2:2" hidden="1" x14ac:dyDescent="0.35">
      <c r="B1419"/>
    </row>
    <row r="1420" spans="2:2" hidden="1" x14ac:dyDescent="0.35">
      <c r="B1420"/>
    </row>
    <row r="1421" spans="2:2" hidden="1" x14ac:dyDescent="0.35">
      <c r="B1421"/>
    </row>
    <row r="1422" spans="2:2" hidden="1" x14ac:dyDescent="0.35">
      <c r="B1422"/>
    </row>
    <row r="1423" spans="2:2" hidden="1" x14ac:dyDescent="0.35">
      <c r="B1423"/>
    </row>
    <row r="1424" spans="2:2" hidden="1" x14ac:dyDescent="0.35">
      <c r="B1424"/>
    </row>
    <row r="1425" spans="2:2" hidden="1" x14ac:dyDescent="0.35">
      <c r="B1425"/>
    </row>
    <row r="1426" spans="2:2" hidden="1" x14ac:dyDescent="0.35">
      <c r="B1426"/>
    </row>
    <row r="1427" spans="2:2" hidden="1" x14ac:dyDescent="0.35">
      <c r="B1427"/>
    </row>
    <row r="1428" spans="2:2" hidden="1" x14ac:dyDescent="0.35">
      <c r="B1428"/>
    </row>
    <row r="1429" spans="2:2" hidden="1" x14ac:dyDescent="0.35">
      <c r="B1429"/>
    </row>
    <row r="1430" spans="2:2" hidden="1" x14ac:dyDescent="0.35">
      <c r="B1430"/>
    </row>
    <row r="1431" spans="2:2" hidden="1" x14ac:dyDescent="0.35">
      <c r="B1431"/>
    </row>
    <row r="1432" spans="2:2" hidden="1" x14ac:dyDescent="0.35">
      <c r="B1432"/>
    </row>
    <row r="1433" spans="2:2" hidden="1" x14ac:dyDescent="0.35">
      <c r="B1433"/>
    </row>
    <row r="1434" spans="2:2" hidden="1" x14ac:dyDescent="0.35">
      <c r="B1434"/>
    </row>
    <row r="1435" spans="2:2" hidden="1" x14ac:dyDescent="0.35">
      <c r="B1435"/>
    </row>
    <row r="1436" spans="2:2" hidden="1" x14ac:dyDescent="0.35">
      <c r="B1436"/>
    </row>
    <row r="1437" spans="2:2" hidden="1" x14ac:dyDescent="0.35">
      <c r="B1437"/>
    </row>
    <row r="1438" spans="2:2" hidden="1" x14ac:dyDescent="0.35">
      <c r="B1438"/>
    </row>
    <row r="1439" spans="2:2" hidden="1" x14ac:dyDescent="0.35">
      <c r="B1439"/>
    </row>
    <row r="1440" spans="2:2" hidden="1" x14ac:dyDescent="0.35">
      <c r="B1440"/>
    </row>
    <row r="1441" spans="2:2" hidden="1" x14ac:dyDescent="0.35">
      <c r="B1441"/>
    </row>
    <row r="1442" spans="2:2" hidden="1" x14ac:dyDescent="0.35">
      <c r="B1442"/>
    </row>
    <row r="1443" spans="2:2" hidden="1" x14ac:dyDescent="0.35">
      <c r="B1443"/>
    </row>
    <row r="1444" spans="2:2" hidden="1" x14ac:dyDescent="0.35">
      <c r="B1444"/>
    </row>
    <row r="1445" spans="2:2" hidden="1" x14ac:dyDescent="0.35">
      <c r="B1445"/>
    </row>
    <row r="1446" spans="2:2" hidden="1" x14ac:dyDescent="0.35">
      <c r="B1446"/>
    </row>
    <row r="1447" spans="2:2" hidden="1" x14ac:dyDescent="0.35">
      <c r="B1447"/>
    </row>
    <row r="1448" spans="2:2" hidden="1" x14ac:dyDescent="0.35">
      <c r="B1448"/>
    </row>
    <row r="1449" spans="2:2" hidden="1" x14ac:dyDescent="0.35">
      <c r="B1449"/>
    </row>
    <row r="1450" spans="2:2" hidden="1" x14ac:dyDescent="0.35">
      <c r="B1450"/>
    </row>
    <row r="1451" spans="2:2" hidden="1" x14ac:dyDescent="0.35">
      <c r="B1451"/>
    </row>
    <row r="1452" spans="2:2" hidden="1" x14ac:dyDescent="0.35">
      <c r="B1452"/>
    </row>
    <row r="1453" spans="2:2" hidden="1" x14ac:dyDescent="0.35">
      <c r="B1453"/>
    </row>
    <row r="1454" spans="2:2" hidden="1" x14ac:dyDescent="0.35">
      <c r="B1454"/>
    </row>
    <row r="1455" spans="2:2" hidden="1" x14ac:dyDescent="0.35">
      <c r="B1455"/>
    </row>
    <row r="1456" spans="2:2" hidden="1" x14ac:dyDescent="0.35">
      <c r="B1456"/>
    </row>
    <row r="1457" spans="2:2" hidden="1" x14ac:dyDescent="0.35">
      <c r="B1457"/>
    </row>
    <row r="1458" spans="2:2" hidden="1" x14ac:dyDescent="0.35">
      <c r="B1458"/>
    </row>
    <row r="1459" spans="2:2" hidden="1" x14ac:dyDescent="0.35">
      <c r="B1459"/>
    </row>
    <row r="1460" spans="2:2" hidden="1" x14ac:dyDescent="0.35">
      <c r="B1460"/>
    </row>
    <row r="1461" spans="2:2" hidden="1" x14ac:dyDescent="0.35">
      <c r="B1461"/>
    </row>
    <row r="1462" spans="2:2" hidden="1" x14ac:dyDescent="0.35">
      <c r="B1462"/>
    </row>
    <row r="1463" spans="2:2" hidden="1" x14ac:dyDescent="0.35">
      <c r="B1463"/>
    </row>
    <row r="1464" spans="2:2" hidden="1" x14ac:dyDescent="0.35">
      <c r="B1464"/>
    </row>
    <row r="1465" spans="2:2" hidden="1" x14ac:dyDescent="0.35">
      <c r="B1465"/>
    </row>
    <row r="1466" spans="2:2" hidden="1" x14ac:dyDescent="0.35">
      <c r="B1466"/>
    </row>
    <row r="1467" spans="2:2" hidden="1" x14ac:dyDescent="0.35">
      <c r="B1467"/>
    </row>
    <row r="1468" spans="2:2" hidden="1" x14ac:dyDescent="0.35">
      <c r="B1468"/>
    </row>
    <row r="1469" spans="2:2" hidden="1" x14ac:dyDescent="0.35">
      <c r="B1469"/>
    </row>
    <row r="1470" spans="2:2" hidden="1" x14ac:dyDescent="0.35">
      <c r="B1470"/>
    </row>
    <row r="1471" spans="2:2" hidden="1" x14ac:dyDescent="0.35">
      <c r="B1471"/>
    </row>
    <row r="1472" spans="2:2" hidden="1" x14ac:dyDescent="0.35">
      <c r="B1472"/>
    </row>
    <row r="1473" spans="2:2" hidden="1" x14ac:dyDescent="0.35">
      <c r="B1473"/>
    </row>
    <row r="1474" spans="2:2" hidden="1" x14ac:dyDescent="0.35">
      <c r="B1474"/>
    </row>
    <row r="1475" spans="2:2" hidden="1" x14ac:dyDescent="0.35">
      <c r="B1475"/>
    </row>
    <row r="1476" spans="2:2" hidden="1" x14ac:dyDescent="0.35">
      <c r="B1476"/>
    </row>
    <row r="1477" spans="2:2" hidden="1" x14ac:dyDescent="0.35">
      <c r="B1477"/>
    </row>
    <row r="1478" spans="2:2" hidden="1" x14ac:dyDescent="0.35">
      <c r="B1478"/>
    </row>
    <row r="1479" spans="2:2" hidden="1" x14ac:dyDescent="0.35">
      <c r="B1479"/>
    </row>
    <row r="1480" spans="2:2" hidden="1" x14ac:dyDescent="0.35">
      <c r="B1480"/>
    </row>
    <row r="1481" spans="2:2" hidden="1" x14ac:dyDescent="0.35">
      <c r="B1481"/>
    </row>
    <row r="1482" spans="2:2" hidden="1" x14ac:dyDescent="0.35">
      <c r="B1482"/>
    </row>
    <row r="1483" spans="2:2" hidden="1" x14ac:dyDescent="0.35">
      <c r="B1483"/>
    </row>
    <row r="1484" spans="2:2" hidden="1" x14ac:dyDescent="0.35">
      <c r="B1484"/>
    </row>
    <row r="1485" spans="2:2" hidden="1" x14ac:dyDescent="0.35">
      <c r="B1485"/>
    </row>
    <row r="1486" spans="2:2" hidden="1" x14ac:dyDescent="0.35">
      <c r="B1486"/>
    </row>
    <row r="1487" spans="2:2" hidden="1" x14ac:dyDescent="0.35">
      <c r="B1487"/>
    </row>
    <row r="1488" spans="2:2" hidden="1" x14ac:dyDescent="0.35">
      <c r="B1488"/>
    </row>
    <row r="1489" spans="2:2" hidden="1" x14ac:dyDescent="0.35">
      <c r="B1489"/>
    </row>
    <row r="1490" spans="2:2" hidden="1" x14ac:dyDescent="0.35">
      <c r="B1490"/>
    </row>
    <row r="1491" spans="2:2" hidden="1" x14ac:dyDescent="0.35">
      <c r="B1491"/>
    </row>
    <row r="1492" spans="2:2" hidden="1" x14ac:dyDescent="0.35">
      <c r="B1492"/>
    </row>
    <row r="1493" spans="2:2" hidden="1" x14ac:dyDescent="0.35">
      <c r="B1493"/>
    </row>
    <row r="1494" spans="2:2" hidden="1" x14ac:dyDescent="0.35">
      <c r="B1494"/>
    </row>
    <row r="1495" spans="2:2" hidden="1" x14ac:dyDescent="0.35">
      <c r="B1495"/>
    </row>
    <row r="1496" spans="2:2" hidden="1" x14ac:dyDescent="0.35">
      <c r="B1496"/>
    </row>
    <row r="1497" spans="2:2" hidden="1" x14ac:dyDescent="0.35">
      <c r="B1497"/>
    </row>
    <row r="1498" spans="2:2" hidden="1" x14ac:dyDescent="0.35">
      <c r="B1498"/>
    </row>
    <row r="1499" spans="2:2" hidden="1" x14ac:dyDescent="0.35">
      <c r="B1499"/>
    </row>
    <row r="1500" spans="2:2" hidden="1" x14ac:dyDescent="0.35">
      <c r="B1500"/>
    </row>
    <row r="1501" spans="2:2" hidden="1" x14ac:dyDescent="0.35">
      <c r="B1501"/>
    </row>
    <row r="1502" spans="2:2" hidden="1" x14ac:dyDescent="0.35">
      <c r="B1502"/>
    </row>
    <row r="1503" spans="2:2" hidden="1" x14ac:dyDescent="0.35">
      <c r="B1503"/>
    </row>
    <row r="1504" spans="2:2" hidden="1" x14ac:dyDescent="0.35">
      <c r="B1504"/>
    </row>
    <row r="1505" spans="2:2" hidden="1" x14ac:dyDescent="0.35">
      <c r="B1505"/>
    </row>
    <row r="1506" spans="2:2" hidden="1" x14ac:dyDescent="0.35">
      <c r="B1506"/>
    </row>
    <row r="1507" spans="2:2" hidden="1" x14ac:dyDescent="0.35">
      <c r="B1507"/>
    </row>
    <row r="1508" spans="2:2" hidden="1" x14ac:dyDescent="0.35">
      <c r="B1508"/>
    </row>
    <row r="1509" spans="2:2" hidden="1" x14ac:dyDescent="0.35">
      <c r="B1509"/>
    </row>
    <row r="1510" spans="2:2" hidden="1" x14ac:dyDescent="0.35">
      <c r="B1510"/>
    </row>
    <row r="1511" spans="2:2" hidden="1" x14ac:dyDescent="0.35">
      <c r="B1511"/>
    </row>
    <row r="1512" spans="2:2" hidden="1" x14ac:dyDescent="0.35">
      <c r="B1512"/>
    </row>
    <row r="1513" spans="2:2" hidden="1" x14ac:dyDescent="0.35">
      <c r="B1513"/>
    </row>
    <row r="1514" spans="2:2" hidden="1" x14ac:dyDescent="0.35">
      <c r="B1514"/>
    </row>
    <row r="1515" spans="2:2" hidden="1" x14ac:dyDescent="0.35">
      <c r="B1515"/>
    </row>
    <row r="1516" spans="2:2" hidden="1" x14ac:dyDescent="0.35">
      <c r="B1516"/>
    </row>
    <row r="1517" spans="2:2" hidden="1" x14ac:dyDescent="0.35">
      <c r="B1517"/>
    </row>
    <row r="1518" spans="2:2" hidden="1" x14ac:dyDescent="0.35">
      <c r="B1518"/>
    </row>
    <row r="1519" spans="2:2" hidden="1" x14ac:dyDescent="0.35">
      <c r="B1519"/>
    </row>
    <row r="1520" spans="2:2" hidden="1" x14ac:dyDescent="0.35">
      <c r="B1520"/>
    </row>
    <row r="1521" spans="2:2" hidden="1" x14ac:dyDescent="0.35">
      <c r="B1521"/>
    </row>
    <row r="1522" spans="2:2" hidden="1" x14ac:dyDescent="0.35">
      <c r="B1522"/>
    </row>
    <row r="1523" spans="2:2" hidden="1" x14ac:dyDescent="0.35">
      <c r="B1523"/>
    </row>
    <row r="1524" spans="2:2" hidden="1" x14ac:dyDescent="0.35">
      <c r="B1524"/>
    </row>
    <row r="1525" spans="2:2" hidden="1" x14ac:dyDescent="0.35">
      <c r="B1525"/>
    </row>
    <row r="1526" spans="2:2" hidden="1" x14ac:dyDescent="0.35">
      <c r="B1526"/>
    </row>
    <row r="1527" spans="2:2" hidden="1" x14ac:dyDescent="0.35">
      <c r="B1527"/>
    </row>
    <row r="1528" spans="2:2" hidden="1" x14ac:dyDescent="0.35">
      <c r="B1528"/>
    </row>
    <row r="1529" spans="2:2" hidden="1" x14ac:dyDescent="0.35">
      <c r="B1529"/>
    </row>
    <row r="1530" spans="2:2" hidden="1" x14ac:dyDescent="0.35">
      <c r="B1530"/>
    </row>
    <row r="1531" spans="2:2" hidden="1" x14ac:dyDescent="0.35">
      <c r="B1531"/>
    </row>
    <row r="1532" spans="2:2" hidden="1" x14ac:dyDescent="0.35">
      <c r="B1532"/>
    </row>
    <row r="1533" spans="2:2" hidden="1" x14ac:dyDescent="0.35">
      <c r="B1533"/>
    </row>
    <row r="1534" spans="2:2" hidden="1" x14ac:dyDescent="0.35">
      <c r="B1534"/>
    </row>
    <row r="1535" spans="2:2" hidden="1" x14ac:dyDescent="0.35">
      <c r="B1535"/>
    </row>
    <row r="1536" spans="2:2" hidden="1" x14ac:dyDescent="0.35">
      <c r="B1536"/>
    </row>
    <row r="1537" spans="2:2" hidden="1" x14ac:dyDescent="0.35">
      <c r="B1537"/>
    </row>
    <row r="1538" spans="2:2" hidden="1" x14ac:dyDescent="0.35">
      <c r="B1538"/>
    </row>
    <row r="1539" spans="2:2" hidden="1" x14ac:dyDescent="0.35">
      <c r="B1539"/>
    </row>
    <row r="1540" spans="2:2" hidden="1" x14ac:dyDescent="0.35">
      <c r="B1540"/>
    </row>
    <row r="1541" spans="2:2" hidden="1" x14ac:dyDescent="0.35">
      <c r="B1541"/>
    </row>
    <row r="1542" spans="2:2" hidden="1" x14ac:dyDescent="0.35">
      <c r="B1542"/>
    </row>
    <row r="1543" spans="2:2" hidden="1" x14ac:dyDescent="0.35">
      <c r="B1543"/>
    </row>
    <row r="1544" spans="2:2" hidden="1" x14ac:dyDescent="0.35">
      <c r="B1544"/>
    </row>
    <row r="1545" spans="2:2" hidden="1" x14ac:dyDescent="0.35">
      <c r="B1545"/>
    </row>
    <row r="1546" spans="2:2" hidden="1" x14ac:dyDescent="0.35">
      <c r="B1546"/>
    </row>
    <row r="1547" spans="2:2" hidden="1" x14ac:dyDescent="0.35">
      <c r="B1547"/>
    </row>
    <row r="1548" spans="2:2" hidden="1" x14ac:dyDescent="0.35">
      <c r="B1548"/>
    </row>
    <row r="1549" spans="2:2" hidden="1" x14ac:dyDescent="0.35">
      <c r="B1549"/>
    </row>
    <row r="1550" spans="2:2" hidden="1" x14ac:dyDescent="0.35">
      <c r="B1550"/>
    </row>
    <row r="1551" spans="2:2" hidden="1" x14ac:dyDescent="0.35">
      <c r="B1551"/>
    </row>
    <row r="1552" spans="2:2" hidden="1" x14ac:dyDescent="0.35">
      <c r="B1552"/>
    </row>
    <row r="1553" spans="2:2" hidden="1" x14ac:dyDescent="0.35">
      <c r="B1553"/>
    </row>
    <row r="1554" spans="2:2" hidden="1" x14ac:dyDescent="0.35">
      <c r="B1554"/>
    </row>
    <row r="1555" spans="2:2" hidden="1" x14ac:dyDescent="0.35">
      <c r="B1555"/>
    </row>
    <row r="1556" spans="2:2" hidden="1" x14ac:dyDescent="0.35">
      <c r="B1556"/>
    </row>
    <row r="1557" spans="2:2" hidden="1" x14ac:dyDescent="0.35">
      <c r="B1557"/>
    </row>
    <row r="1558" spans="2:2" hidden="1" x14ac:dyDescent="0.35">
      <c r="B1558"/>
    </row>
    <row r="1559" spans="2:2" hidden="1" x14ac:dyDescent="0.35">
      <c r="B1559"/>
    </row>
    <row r="1560" spans="2:2" hidden="1" x14ac:dyDescent="0.35">
      <c r="B1560"/>
    </row>
    <row r="1561" spans="2:2" hidden="1" x14ac:dyDescent="0.35">
      <c r="B1561"/>
    </row>
    <row r="1562" spans="2:2" hidden="1" x14ac:dyDescent="0.35">
      <c r="B1562"/>
    </row>
    <row r="1563" spans="2:2" hidden="1" x14ac:dyDescent="0.35">
      <c r="B1563"/>
    </row>
    <row r="1564" spans="2:2" hidden="1" x14ac:dyDescent="0.35">
      <c r="B1564"/>
    </row>
    <row r="1565" spans="2:2" hidden="1" x14ac:dyDescent="0.35">
      <c r="B1565"/>
    </row>
    <row r="1566" spans="2:2" hidden="1" x14ac:dyDescent="0.35">
      <c r="B1566"/>
    </row>
    <row r="1567" spans="2:2" hidden="1" x14ac:dyDescent="0.35">
      <c r="B1567"/>
    </row>
    <row r="1568" spans="2:2" hidden="1" x14ac:dyDescent="0.35">
      <c r="B1568"/>
    </row>
    <row r="1569" spans="2:2" hidden="1" x14ac:dyDescent="0.35">
      <c r="B1569"/>
    </row>
    <row r="1570" spans="2:2" hidden="1" x14ac:dyDescent="0.35">
      <c r="B1570"/>
    </row>
    <row r="1571" spans="2:2" hidden="1" x14ac:dyDescent="0.35">
      <c r="B1571"/>
    </row>
    <row r="1572" spans="2:2" hidden="1" x14ac:dyDescent="0.35">
      <c r="B1572"/>
    </row>
    <row r="1573" spans="2:2" hidden="1" x14ac:dyDescent="0.35">
      <c r="B1573"/>
    </row>
    <row r="1574" spans="2:2" hidden="1" x14ac:dyDescent="0.35">
      <c r="B1574"/>
    </row>
    <row r="1575" spans="2:2" hidden="1" x14ac:dyDescent="0.35">
      <c r="B1575"/>
    </row>
    <row r="1576" spans="2:2" hidden="1" x14ac:dyDescent="0.35">
      <c r="B1576"/>
    </row>
    <row r="1577" spans="2:2" hidden="1" x14ac:dyDescent="0.35">
      <c r="B1577"/>
    </row>
    <row r="1578" spans="2:2" hidden="1" x14ac:dyDescent="0.35">
      <c r="B1578"/>
    </row>
    <row r="1579" spans="2:2" hidden="1" x14ac:dyDescent="0.35">
      <c r="B1579"/>
    </row>
    <row r="1580" spans="2:2" hidden="1" x14ac:dyDescent="0.35">
      <c r="B1580"/>
    </row>
    <row r="1581" spans="2:2" hidden="1" x14ac:dyDescent="0.35">
      <c r="B1581"/>
    </row>
    <row r="1582" spans="2:2" hidden="1" x14ac:dyDescent="0.35">
      <c r="B1582"/>
    </row>
    <row r="1583" spans="2:2" hidden="1" x14ac:dyDescent="0.35">
      <c r="B1583"/>
    </row>
    <row r="1584" spans="2:2" hidden="1" x14ac:dyDescent="0.35">
      <c r="B1584"/>
    </row>
    <row r="1585" spans="2:2" hidden="1" x14ac:dyDescent="0.35">
      <c r="B1585"/>
    </row>
    <row r="1586" spans="2:2" hidden="1" x14ac:dyDescent="0.35">
      <c r="B1586"/>
    </row>
    <row r="1587" spans="2:2" hidden="1" x14ac:dyDescent="0.35">
      <c r="B1587"/>
    </row>
    <row r="1588" spans="2:2" hidden="1" x14ac:dyDescent="0.35">
      <c r="B1588"/>
    </row>
    <row r="1589" spans="2:2" hidden="1" x14ac:dyDescent="0.35">
      <c r="B1589"/>
    </row>
    <row r="1590" spans="2:2" hidden="1" x14ac:dyDescent="0.35">
      <c r="B1590"/>
    </row>
    <row r="1591" spans="2:2" hidden="1" x14ac:dyDescent="0.35">
      <c r="B1591"/>
    </row>
    <row r="1592" spans="2:2" hidden="1" x14ac:dyDescent="0.35">
      <c r="B1592"/>
    </row>
    <row r="1593" spans="2:2" hidden="1" x14ac:dyDescent="0.35">
      <c r="B1593"/>
    </row>
    <row r="1594" spans="2:2" hidden="1" x14ac:dyDescent="0.35">
      <c r="B1594"/>
    </row>
    <row r="1595" spans="2:2" hidden="1" x14ac:dyDescent="0.35">
      <c r="B1595"/>
    </row>
    <row r="1596" spans="2:2" hidden="1" x14ac:dyDescent="0.35">
      <c r="B1596"/>
    </row>
    <row r="1597" spans="2:2" hidden="1" x14ac:dyDescent="0.35">
      <c r="B1597"/>
    </row>
    <row r="1598" spans="2:2" hidden="1" x14ac:dyDescent="0.35">
      <c r="B1598"/>
    </row>
    <row r="1599" spans="2:2" hidden="1" x14ac:dyDescent="0.35">
      <c r="B1599"/>
    </row>
    <row r="1600" spans="2:2" hidden="1" x14ac:dyDescent="0.35">
      <c r="B1600"/>
    </row>
    <row r="1601" spans="2:2" hidden="1" x14ac:dyDescent="0.35">
      <c r="B1601"/>
    </row>
    <row r="1602" spans="2:2" hidden="1" x14ac:dyDescent="0.35">
      <c r="B1602"/>
    </row>
    <row r="1603" spans="2:2" hidden="1" x14ac:dyDescent="0.35">
      <c r="B1603"/>
    </row>
    <row r="1604" spans="2:2" hidden="1" x14ac:dyDescent="0.35">
      <c r="B1604"/>
    </row>
    <row r="1605" spans="2:2" hidden="1" x14ac:dyDescent="0.35">
      <c r="B1605"/>
    </row>
    <row r="1606" spans="2:2" hidden="1" x14ac:dyDescent="0.35">
      <c r="B1606"/>
    </row>
    <row r="1607" spans="2:2" hidden="1" x14ac:dyDescent="0.35">
      <c r="B1607"/>
    </row>
    <row r="1608" spans="2:2" hidden="1" x14ac:dyDescent="0.35">
      <c r="B1608"/>
    </row>
    <row r="1609" spans="2:2" hidden="1" x14ac:dyDescent="0.35">
      <c r="B1609"/>
    </row>
    <row r="1610" spans="2:2" hidden="1" x14ac:dyDescent="0.35">
      <c r="B1610"/>
    </row>
    <row r="1611" spans="2:2" hidden="1" x14ac:dyDescent="0.35">
      <c r="B1611"/>
    </row>
    <row r="1612" spans="2:2" hidden="1" x14ac:dyDescent="0.35">
      <c r="B1612"/>
    </row>
    <row r="1613" spans="2:2" hidden="1" x14ac:dyDescent="0.35">
      <c r="B1613"/>
    </row>
    <row r="1614" spans="2:2" hidden="1" x14ac:dyDescent="0.35">
      <c r="B1614"/>
    </row>
    <row r="1615" spans="2:2" hidden="1" x14ac:dyDescent="0.35">
      <c r="B1615"/>
    </row>
    <row r="1616" spans="2:2" hidden="1" x14ac:dyDescent="0.35">
      <c r="B1616"/>
    </row>
    <row r="1617" spans="2:2" hidden="1" x14ac:dyDescent="0.35">
      <c r="B1617"/>
    </row>
    <row r="1618" spans="2:2" hidden="1" x14ac:dyDescent="0.35">
      <c r="B1618"/>
    </row>
    <row r="1619" spans="2:2" hidden="1" x14ac:dyDescent="0.35">
      <c r="B1619"/>
    </row>
    <row r="1620" spans="2:2" hidden="1" x14ac:dyDescent="0.35">
      <c r="B1620"/>
    </row>
    <row r="1621" spans="2:2" hidden="1" x14ac:dyDescent="0.35">
      <c r="B1621"/>
    </row>
    <row r="1622" spans="2:2" hidden="1" x14ac:dyDescent="0.35">
      <c r="B1622"/>
    </row>
    <row r="1623" spans="2:2" hidden="1" x14ac:dyDescent="0.35">
      <c r="B1623"/>
    </row>
    <row r="1624" spans="2:2" hidden="1" x14ac:dyDescent="0.35">
      <c r="B1624"/>
    </row>
    <row r="1625" spans="2:2" hidden="1" x14ac:dyDescent="0.35">
      <c r="B1625"/>
    </row>
    <row r="1626" spans="2:2" hidden="1" x14ac:dyDescent="0.35">
      <c r="B1626"/>
    </row>
    <row r="1627" spans="2:2" hidden="1" x14ac:dyDescent="0.35">
      <c r="B1627"/>
    </row>
    <row r="1628" spans="2:2" hidden="1" x14ac:dyDescent="0.35">
      <c r="B1628"/>
    </row>
    <row r="1629" spans="2:2" hidden="1" x14ac:dyDescent="0.35">
      <c r="B1629"/>
    </row>
    <row r="1630" spans="2:2" hidden="1" x14ac:dyDescent="0.35">
      <c r="B1630"/>
    </row>
    <row r="1631" spans="2:2" hidden="1" x14ac:dyDescent="0.35">
      <c r="B1631"/>
    </row>
    <row r="1632" spans="2:2" hidden="1" x14ac:dyDescent="0.35">
      <c r="B1632"/>
    </row>
    <row r="1633" spans="2:2" hidden="1" x14ac:dyDescent="0.35">
      <c r="B1633"/>
    </row>
    <row r="1634" spans="2:2" hidden="1" x14ac:dyDescent="0.35">
      <c r="B1634"/>
    </row>
    <row r="1635" spans="2:2" hidden="1" x14ac:dyDescent="0.35">
      <c r="B1635"/>
    </row>
    <row r="1636" spans="2:2" hidden="1" x14ac:dyDescent="0.35">
      <c r="B1636"/>
    </row>
    <row r="1637" spans="2:2" hidden="1" x14ac:dyDescent="0.35">
      <c r="B1637"/>
    </row>
    <row r="1638" spans="2:2" hidden="1" x14ac:dyDescent="0.35">
      <c r="B1638"/>
    </row>
    <row r="1639" spans="2:2" hidden="1" x14ac:dyDescent="0.35">
      <c r="B1639"/>
    </row>
    <row r="1640" spans="2:2" hidden="1" x14ac:dyDescent="0.35">
      <c r="B1640"/>
    </row>
    <row r="1641" spans="2:2" hidden="1" x14ac:dyDescent="0.35">
      <c r="B1641"/>
    </row>
    <row r="1642" spans="2:2" hidden="1" x14ac:dyDescent="0.35">
      <c r="B1642"/>
    </row>
    <row r="1643" spans="2:2" hidden="1" x14ac:dyDescent="0.35">
      <c r="B1643"/>
    </row>
    <row r="1644" spans="2:2" hidden="1" x14ac:dyDescent="0.35">
      <c r="B1644"/>
    </row>
    <row r="1645" spans="2:2" hidden="1" x14ac:dyDescent="0.35">
      <c r="B1645"/>
    </row>
    <row r="1646" spans="2:2" hidden="1" x14ac:dyDescent="0.35">
      <c r="B1646"/>
    </row>
    <row r="1647" spans="2:2" hidden="1" x14ac:dyDescent="0.35">
      <c r="B1647"/>
    </row>
    <row r="1648" spans="2:2" hidden="1" x14ac:dyDescent="0.35">
      <c r="B1648"/>
    </row>
    <row r="1649" spans="2:2" hidden="1" x14ac:dyDescent="0.35">
      <c r="B1649"/>
    </row>
    <row r="1650" spans="2:2" hidden="1" x14ac:dyDescent="0.35">
      <c r="B1650"/>
    </row>
    <row r="1651" spans="2:2" hidden="1" x14ac:dyDescent="0.35">
      <c r="B1651"/>
    </row>
    <row r="1652" spans="2:2" hidden="1" x14ac:dyDescent="0.35">
      <c r="B1652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47D4B-F456-40DE-BA96-CFE13811F13F}">
  <sheetPr codeName="Sheet4">
    <tabColor rgb="FF92D050"/>
  </sheetPr>
  <dimension ref="A1:AB2278"/>
  <sheetViews>
    <sheetView showGridLines="0" topLeftCell="A2" zoomScale="69" zoomScaleNormal="69" workbookViewId="0">
      <selection activeCell="C18" sqref="C18:C47"/>
    </sheetView>
  </sheetViews>
  <sheetFormatPr defaultColWidth="0" defaultRowHeight="14.5" zeroHeight="1" x14ac:dyDescent="0.35"/>
  <cols>
    <col min="1" max="1" width="8.7265625" style="6" customWidth="1"/>
    <col min="2" max="2" width="14.54296875" style="89" bestFit="1" customWidth="1"/>
    <col min="3" max="3" width="26" style="73" bestFit="1" customWidth="1"/>
    <col min="4" max="4" width="6.6328125" style="5" bestFit="1" customWidth="1"/>
    <col min="5" max="5" width="7.26953125" style="5" bestFit="1" customWidth="1"/>
    <col min="6" max="6" width="6.90625" style="5" bestFit="1" customWidth="1"/>
    <col min="7" max="7" width="6.6328125" style="75" bestFit="1" customWidth="1"/>
    <col min="8" max="8" width="6.90625" style="75" bestFit="1" customWidth="1"/>
    <col min="9" max="9" width="6.6328125" style="75" bestFit="1" customWidth="1"/>
    <col min="10" max="10" width="11.08984375" style="75" bestFit="1" customWidth="1"/>
    <col min="11" max="14" width="8.7265625" style="75" customWidth="1"/>
    <col min="15" max="22" width="8.7265625" style="5" customWidth="1"/>
    <col min="23" max="23" width="8.7265625" style="6" customWidth="1"/>
    <col min="24" max="24" width="4.1796875" style="6" customWidth="1"/>
    <col min="25" max="28" width="8.7265625" style="6" hidden="1" customWidth="1"/>
    <col min="29" max="16384" width="8.7265625" style="6" hidden="1"/>
  </cols>
  <sheetData>
    <row r="1" spans="1:28" x14ac:dyDescent="0.35">
      <c r="B1" s="84"/>
      <c r="C1" s="62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28" s="5" customFormat="1" x14ac:dyDescent="0.35">
      <c r="A2" s="61"/>
      <c r="B2" s="85"/>
      <c r="C2" s="63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"/>
      <c r="X2" s="6"/>
      <c r="Y2" s="6"/>
      <c r="Z2" s="6"/>
      <c r="AA2" s="6"/>
      <c r="AB2" s="6"/>
    </row>
    <row r="3" spans="1:28" s="5" customFormat="1" x14ac:dyDescent="0.35">
      <c r="B3" s="86"/>
      <c r="C3" s="64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W3" s="6"/>
      <c r="X3" s="6"/>
      <c r="Y3" s="6"/>
      <c r="Z3" s="6"/>
      <c r="AA3" s="6"/>
      <c r="AB3" s="6"/>
    </row>
    <row r="4" spans="1:28" s="5" customFormat="1" ht="18.5" x14ac:dyDescent="0.45">
      <c r="B4" s="86"/>
      <c r="C4" s="64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R4" s="58"/>
      <c r="W4" s="6"/>
      <c r="X4" s="6"/>
      <c r="Y4" s="6"/>
      <c r="Z4" s="6"/>
      <c r="AA4" s="6"/>
      <c r="AB4" s="6"/>
    </row>
    <row r="5" spans="1:28" s="5" customFormat="1" ht="36" x14ac:dyDescent="0.8">
      <c r="B5" s="87" t="s">
        <v>39</v>
      </c>
      <c r="C5" s="67" t="s">
        <v>34</v>
      </c>
      <c r="D5" s="59"/>
      <c r="E5" s="59"/>
      <c r="F5" s="59"/>
      <c r="G5" s="59"/>
      <c r="H5" s="59"/>
      <c r="I5" s="68" t="str">
        <f>'Stats Graphs'!I5</f>
        <v>Sint Franciscus Gasthuis</v>
      </c>
      <c r="J5" s="59"/>
      <c r="K5" s="59"/>
      <c r="L5" s="59"/>
      <c r="M5" s="59"/>
      <c r="N5" s="59"/>
      <c r="O5" s="59"/>
      <c r="P5" s="59"/>
      <c r="W5" s="6"/>
      <c r="X5" s="6"/>
      <c r="Y5" s="6"/>
      <c r="Z5" s="6"/>
      <c r="AA5" s="6"/>
      <c r="AB5" s="6"/>
    </row>
    <row r="6" spans="1:28" s="5" customFormat="1" ht="28.5" x14ac:dyDescent="0.65">
      <c r="B6" s="86"/>
      <c r="C6" s="64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S6" s="60"/>
      <c r="W6" s="6"/>
      <c r="X6" s="6"/>
      <c r="Y6" s="6"/>
      <c r="Z6" s="6"/>
      <c r="AA6" s="6"/>
      <c r="AB6" s="6"/>
    </row>
    <row r="7" spans="1:28" s="5" customFormat="1" ht="36" x14ac:dyDescent="0.8">
      <c r="B7" s="86"/>
      <c r="C7" s="67" t="s">
        <v>36</v>
      </c>
      <c r="D7" s="59"/>
      <c r="E7" s="59"/>
      <c r="F7" s="59"/>
      <c r="G7" s="59"/>
      <c r="H7" s="59"/>
      <c r="I7" s="68" t="str">
        <f>'Stats Graphs'!I7</f>
        <v>Journal report</v>
      </c>
      <c r="J7" s="59"/>
      <c r="K7" s="59"/>
      <c r="L7" s="59"/>
      <c r="M7" s="59"/>
      <c r="N7" s="59"/>
      <c r="O7" s="59"/>
      <c r="P7" s="59"/>
      <c r="W7" s="6"/>
      <c r="X7" s="6"/>
      <c r="Y7" s="6"/>
      <c r="Z7" s="6"/>
      <c r="AA7" s="6"/>
      <c r="AB7" s="6"/>
    </row>
    <row r="8" spans="1:28" s="5" customFormat="1" x14ac:dyDescent="0.35">
      <c r="B8" s="86"/>
      <c r="C8" s="64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W8" s="6"/>
      <c r="X8" s="6"/>
      <c r="Y8" s="6"/>
      <c r="Z8" s="6"/>
      <c r="AA8" s="6"/>
      <c r="AB8" s="6"/>
    </row>
    <row r="9" spans="1:28" s="5" customFormat="1" ht="36" x14ac:dyDescent="0.8">
      <c r="B9" s="86"/>
      <c r="C9" s="67" t="s">
        <v>35</v>
      </c>
      <c r="D9" s="59"/>
      <c r="E9" s="59"/>
      <c r="F9" s="59"/>
      <c r="G9" s="59"/>
      <c r="H9" s="59"/>
      <c r="I9" s="68" t="str">
        <f>'Stats Graphs'!I9</f>
        <v>January 2023 - October 2023</v>
      </c>
      <c r="J9" s="59"/>
      <c r="K9" s="59"/>
      <c r="L9" s="59"/>
      <c r="M9" s="59"/>
      <c r="N9" s="59"/>
      <c r="O9" s="59"/>
      <c r="P9" s="59"/>
      <c r="W9" s="6"/>
      <c r="X9" s="6"/>
      <c r="Y9" s="6"/>
      <c r="Z9" s="6"/>
      <c r="AA9" s="6"/>
      <c r="AB9" s="6"/>
    </row>
    <row r="10" spans="1:28" s="5" customFormat="1" x14ac:dyDescent="0.35">
      <c r="B10" s="86"/>
      <c r="C10" s="64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W10" s="6"/>
      <c r="X10" s="6"/>
      <c r="Y10" s="6"/>
      <c r="Z10" s="6"/>
      <c r="AA10" s="6"/>
      <c r="AB10" s="6"/>
    </row>
    <row r="11" spans="1:28" s="5" customFormat="1" x14ac:dyDescent="0.35">
      <c r="A11" s="61"/>
      <c r="B11" s="85"/>
      <c r="C11" s="63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"/>
      <c r="X11" s="6"/>
      <c r="Y11" s="6"/>
      <c r="Z11" s="6"/>
      <c r="AA11" s="6"/>
      <c r="AB11" s="6"/>
    </row>
    <row r="12" spans="1:28" x14ac:dyDescent="0.35">
      <c r="B12" s="84"/>
      <c r="C12" s="62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spans="1:28" x14ac:dyDescent="0.35">
      <c r="B13" s="84"/>
      <c r="C13" s="62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spans="1:28" x14ac:dyDescent="0.35">
      <c r="A14" s="5"/>
      <c r="B14" s="88"/>
      <c r="C14" s="74"/>
      <c r="D14" s="75"/>
      <c r="E14" s="75"/>
      <c r="F14" s="75"/>
    </row>
    <row r="15" spans="1:28" x14ac:dyDescent="0.35">
      <c r="A15" s="75"/>
      <c r="B15" s="94"/>
      <c r="C15" s="76"/>
      <c r="D15" s="75"/>
      <c r="E15" s="75"/>
      <c r="F15" s="75"/>
    </row>
    <row r="16" spans="1:28" s="75" customFormat="1" x14ac:dyDescent="0.35">
      <c r="A16" s="91"/>
      <c r="B16"/>
      <c r="C16"/>
      <c r="D16"/>
      <c r="E16" s="76"/>
      <c r="O16" s="5"/>
      <c r="P16" s="5"/>
      <c r="Q16" s="5"/>
      <c r="R16" s="5"/>
      <c r="S16" s="5"/>
      <c r="T16" s="5"/>
      <c r="U16" s="5"/>
      <c r="V16" s="5"/>
      <c r="W16" s="93"/>
      <c r="X16" s="93"/>
    </row>
    <row r="17" spans="1:24" s="75" customFormat="1" x14ac:dyDescent="0.35">
      <c r="A17" s="91"/>
      <c r="B17" s="3" t="s">
        <v>13</v>
      </c>
      <c r="C17" t="s">
        <v>23</v>
      </c>
      <c r="D17"/>
      <c r="E17" s="76"/>
      <c r="O17" s="5"/>
      <c r="P17" s="5"/>
      <c r="Q17" s="5"/>
      <c r="R17" s="5"/>
      <c r="S17" s="5"/>
      <c r="T17" s="5"/>
      <c r="U17" s="5"/>
      <c r="V17" s="5"/>
      <c r="W17" s="93"/>
      <c r="X17" s="93"/>
    </row>
    <row r="18" spans="1:24" s="75" customFormat="1" x14ac:dyDescent="0.35">
      <c r="A18" s="91"/>
      <c r="B18" s="99" t="s">
        <v>52</v>
      </c>
      <c r="C18" s="100"/>
      <c r="D18"/>
      <c r="E18" s="76"/>
      <c r="O18" s="5"/>
      <c r="P18" s="5"/>
      <c r="Q18" s="5"/>
      <c r="R18" s="5"/>
      <c r="S18" s="5"/>
      <c r="T18" s="5"/>
      <c r="U18" s="5"/>
      <c r="V18" s="5"/>
      <c r="W18" s="93"/>
      <c r="X18" s="93"/>
    </row>
    <row r="19" spans="1:24" s="75" customFormat="1" x14ac:dyDescent="0.35">
      <c r="A19" s="91"/>
      <c r="B19" s="99">
        <v>44927</v>
      </c>
      <c r="C19" s="100">
        <v>50</v>
      </c>
      <c r="D19"/>
      <c r="E19" s="76"/>
      <c r="O19" s="5"/>
      <c r="P19" s="5"/>
      <c r="Q19" s="5"/>
      <c r="R19" s="5"/>
      <c r="S19" s="5"/>
      <c r="T19" s="5"/>
      <c r="U19" s="5"/>
      <c r="V19" s="5"/>
      <c r="W19" s="93"/>
      <c r="X19" s="93"/>
    </row>
    <row r="20" spans="1:24" s="75" customFormat="1" x14ac:dyDescent="0.35">
      <c r="A20" s="91"/>
      <c r="B20" s="99">
        <v>44958</v>
      </c>
      <c r="C20" s="100">
        <v>43</v>
      </c>
      <c r="D20"/>
      <c r="E20" s="76"/>
      <c r="O20" s="5"/>
      <c r="P20" s="5"/>
      <c r="Q20" s="5"/>
      <c r="R20" s="5"/>
      <c r="S20" s="5"/>
      <c r="T20" s="5"/>
      <c r="U20" s="5"/>
      <c r="V20" s="5"/>
      <c r="W20" s="93"/>
      <c r="X20" s="93"/>
    </row>
    <row r="21" spans="1:24" s="75" customFormat="1" x14ac:dyDescent="0.35">
      <c r="A21" s="91"/>
      <c r="B21" s="99">
        <v>44986</v>
      </c>
      <c r="C21" s="100">
        <v>40</v>
      </c>
      <c r="D21"/>
      <c r="E21" s="76"/>
      <c r="O21" s="5"/>
      <c r="P21" s="5"/>
      <c r="Q21" s="5"/>
      <c r="R21" s="5"/>
      <c r="S21" s="5"/>
      <c r="T21" s="5"/>
      <c r="U21" s="5"/>
      <c r="V21" s="5"/>
      <c r="W21" s="93"/>
      <c r="X21" s="93"/>
    </row>
    <row r="22" spans="1:24" s="75" customFormat="1" x14ac:dyDescent="0.35">
      <c r="A22" s="91"/>
      <c r="B22" s="99">
        <v>45017</v>
      </c>
      <c r="C22" s="100">
        <v>42</v>
      </c>
      <c r="D22"/>
      <c r="E22" s="76"/>
      <c r="O22" s="5"/>
      <c r="P22" s="5"/>
      <c r="Q22" s="5"/>
      <c r="R22" s="5"/>
      <c r="S22" s="5"/>
      <c r="T22" s="5"/>
      <c r="U22" s="5"/>
      <c r="V22" s="5"/>
      <c r="W22" s="93"/>
      <c r="X22" s="93"/>
    </row>
    <row r="23" spans="1:24" s="75" customFormat="1" x14ac:dyDescent="0.35">
      <c r="A23" s="91"/>
      <c r="B23" s="99">
        <v>45047</v>
      </c>
      <c r="C23" s="100">
        <v>34</v>
      </c>
      <c r="D23"/>
      <c r="E23" s="76"/>
      <c r="O23" s="5"/>
      <c r="P23" s="5"/>
      <c r="Q23" s="5"/>
      <c r="R23" s="5"/>
      <c r="S23" s="5"/>
      <c r="T23" s="5"/>
      <c r="U23" s="5"/>
      <c r="V23" s="5"/>
      <c r="W23" s="93"/>
      <c r="X23" s="93"/>
    </row>
    <row r="24" spans="1:24" s="75" customFormat="1" x14ac:dyDescent="0.35">
      <c r="A24" s="91"/>
      <c r="B24" s="99">
        <v>45078</v>
      </c>
      <c r="C24" s="100">
        <v>27</v>
      </c>
      <c r="D24"/>
      <c r="E24" s="76"/>
      <c r="O24" s="5"/>
      <c r="P24" s="5"/>
      <c r="Q24" s="5"/>
      <c r="R24" s="5"/>
      <c r="S24" s="5"/>
      <c r="T24" s="5"/>
      <c r="U24" s="5"/>
      <c r="V24" s="5"/>
      <c r="W24" s="93"/>
      <c r="X24" s="93"/>
    </row>
    <row r="25" spans="1:24" s="75" customFormat="1" x14ac:dyDescent="0.35">
      <c r="A25" s="91"/>
      <c r="B25" s="99">
        <v>45108</v>
      </c>
      <c r="C25" s="100">
        <v>43</v>
      </c>
      <c r="D25"/>
      <c r="E25" s="76"/>
      <c r="O25" s="5"/>
      <c r="P25" s="5"/>
      <c r="Q25" s="5"/>
      <c r="R25" s="5"/>
      <c r="S25" s="5"/>
      <c r="T25" s="5"/>
      <c r="U25" s="5"/>
      <c r="V25" s="5"/>
      <c r="W25" s="93"/>
      <c r="X25" s="93"/>
    </row>
    <row r="26" spans="1:24" s="75" customFormat="1" x14ac:dyDescent="0.35">
      <c r="A26" s="91"/>
      <c r="B26" s="99">
        <v>45139</v>
      </c>
      <c r="C26" s="100">
        <v>44</v>
      </c>
      <c r="D26"/>
      <c r="E26" s="76"/>
      <c r="O26" s="5"/>
      <c r="P26" s="5"/>
      <c r="Q26" s="5"/>
      <c r="R26" s="5"/>
      <c r="S26" s="5"/>
      <c r="T26" s="5"/>
      <c r="U26" s="5"/>
      <c r="V26" s="5"/>
      <c r="W26" s="93"/>
      <c r="X26" s="93"/>
    </row>
    <row r="27" spans="1:24" s="75" customFormat="1" x14ac:dyDescent="0.35">
      <c r="A27" s="91"/>
      <c r="B27" s="99">
        <v>45170</v>
      </c>
      <c r="C27" s="100">
        <v>52</v>
      </c>
      <c r="D27"/>
      <c r="E27" s="76"/>
      <c r="O27" s="5"/>
      <c r="P27" s="5"/>
      <c r="Q27" s="5"/>
      <c r="R27" s="5"/>
      <c r="S27" s="5"/>
      <c r="T27" s="5"/>
      <c r="U27" s="5"/>
      <c r="V27" s="5"/>
      <c r="W27" s="93"/>
      <c r="X27" s="93"/>
    </row>
    <row r="28" spans="1:24" s="75" customFormat="1" x14ac:dyDescent="0.35">
      <c r="A28" s="91"/>
      <c r="B28" s="99">
        <v>45200</v>
      </c>
      <c r="C28" s="100">
        <v>19</v>
      </c>
      <c r="D28"/>
      <c r="E28" s="76"/>
      <c r="O28" s="5"/>
      <c r="P28" s="5"/>
      <c r="Q28" s="5"/>
      <c r="R28" s="5"/>
      <c r="S28" s="5"/>
      <c r="T28" s="5"/>
      <c r="U28" s="5"/>
      <c r="V28" s="5"/>
      <c r="W28" s="93"/>
      <c r="X28" s="93"/>
    </row>
    <row r="29" spans="1:24" s="75" customFormat="1" x14ac:dyDescent="0.35">
      <c r="A29" s="91"/>
      <c r="B29" s="99" t="s">
        <v>28</v>
      </c>
      <c r="C29" s="100">
        <v>394</v>
      </c>
      <c r="D29"/>
      <c r="E29" s="76"/>
      <c r="O29" s="5"/>
      <c r="P29" s="5"/>
      <c r="Q29" s="5"/>
      <c r="R29" s="5"/>
      <c r="S29" s="5"/>
      <c r="T29" s="5"/>
      <c r="U29" s="5"/>
      <c r="V29" s="5"/>
      <c r="W29" s="93"/>
      <c r="X29" s="93"/>
    </row>
    <row r="30" spans="1:24" s="75" customFormat="1" x14ac:dyDescent="0.35">
      <c r="A30" s="91"/>
      <c r="B30"/>
      <c r="C30"/>
      <c r="D30"/>
      <c r="E30" s="76"/>
      <c r="O30" s="5"/>
      <c r="P30" s="5"/>
      <c r="Q30" s="5"/>
      <c r="R30" s="5"/>
      <c r="S30" s="5"/>
      <c r="T30" s="5"/>
      <c r="U30" s="5"/>
      <c r="V30" s="5"/>
      <c r="W30" s="93"/>
      <c r="X30" s="93"/>
    </row>
    <row r="31" spans="1:24" s="75" customFormat="1" x14ac:dyDescent="0.35">
      <c r="A31" s="91"/>
      <c r="B31"/>
      <c r="C31"/>
      <c r="D31"/>
      <c r="E31" s="76"/>
      <c r="O31" s="5"/>
      <c r="P31" s="5"/>
      <c r="Q31" s="5"/>
      <c r="R31" s="5"/>
      <c r="S31" s="5"/>
      <c r="T31" s="5"/>
      <c r="U31" s="5"/>
      <c r="V31" s="5"/>
      <c r="W31" s="93"/>
      <c r="X31" s="93"/>
    </row>
    <row r="32" spans="1:24" s="75" customFormat="1" x14ac:dyDescent="0.35">
      <c r="A32" s="91"/>
      <c r="B32"/>
      <c r="C32"/>
      <c r="D32"/>
      <c r="E32" s="76"/>
      <c r="O32" s="5"/>
      <c r="P32" s="5"/>
      <c r="Q32" s="5"/>
      <c r="R32" s="5"/>
      <c r="S32" s="5"/>
      <c r="T32" s="5"/>
      <c r="U32" s="5"/>
      <c r="V32" s="5"/>
      <c r="W32" s="93"/>
      <c r="X32" s="93"/>
    </row>
    <row r="33" spans="1:24" s="75" customFormat="1" x14ac:dyDescent="0.35">
      <c r="A33" s="91"/>
      <c r="B33"/>
      <c r="C33"/>
      <c r="D33"/>
      <c r="E33" s="76"/>
      <c r="O33" s="5"/>
      <c r="P33" s="5"/>
      <c r="Q33" s="5"/>
      <c r="R33" s="5"/>
      <c r="S33" s="5"/>
      <c r="T33" s="5"/>
      <c r="U33" s="5"/>
      <c r="V33" s="5"/>
      <c r="W33" s="93"/>
      <c r="X33" s="93"/>
    </row>
    <row r="34" spans="1:24" s="75" customFormat="1" x14ac:dyDescent="0.35">
      <c r="A34" s="91"/>
      <c r="B34"/>
      <c r="C34"/>
      <c r="D34"/>
      <c r="E34" s="76"/>
      <c r="O34" s="5"/>
      <c r="P34" s="5"/>
      <c r="Q34" s="5"/>
      <c r="R34" s="5"/>
      <c r="S34" s="5"/>
      <c r="T34" s="5"/>
      <c r="U34" s="5"/>
      <c r="V34" s="5"/>
      <c r="W34" s="93"/>
      <c r="X34" s="93"/>
    </row>
    <row r="35" spans="1:24" s="75" customFormat="1" x14ac:dyDescent="0.35">
      <c r="A35" s="91"/>
      <c r="B35"/>
      <c r="C35"/>
      <c r="D35"/>
      <c r="E35" s="76"/>
      <c r="O35" s="5"/>
      <c r="P35" s="5"/>
      <c r="Q35" s="5"/>
      <c r="R35" s="5"/>
      <c r="S35" s="5"/>
      <c r="T35" s="5"/>
      <c r="U35" s="5"/>
      <c r="V35" s="5"/>
      <c r="W35" s="93"/>
      <c r="X35" s="93"/>
    </row>
    <row r="36" spans="1:24" s="75" customFormat="1" x14ac:dyDescent="0.35">
      <c r="A36" s="91"/>
      <c r="B36"/>
      <c r="C36"/>
      <c r="D36"/>
      <c r="E36" s="76"/>
      <c r="O36" s="5"/>
      <c r="P36" s="5"/>
      <c r="Q36" s="5"/>
      <c r="R36" s="5"/>
      <c r="S36" s="5"/>
      <c r="T36" s="5"/>
      <c r="U36" s="5"/>
      <c r="V36" s="5"/>
      <c r="W36" s="93"/>
      <c r="X36" s="93"/>
    </row>
    <row r="37" spans="1:24" s="75" customFormat="1" x14ac:dyDescent="0.35">
      <c r="A37" s="91"/>
      <c r="B37"/>
      <c r="C37"/>
      <c r="D37"/>
      <c r="E37" s="76"/>
      <c r="O37" s="5"/>
      <c r="P37" s="5"/>
      <c r="Q37" s="5"/>
      <c r="R37" s="5"/>
      <c r="S37" s="5"/>
      <c r="T37" s="5"/>
      <c r="U37" s="5"/>
      <c r="V37" s="5"/>
      <c r="W37" s="93"/>
      <c r="X37" s="93"/>
    </row>
    <row r="38" spans="1:24" s="75" customFormat="1" x14ac:dyDescent="0.35">
      <c r="A38" s="91"/>
      <c r="B38"/>
      <c r="C38"/>
      <c r="D38"/>
      <c r="E38" s="76"/>
      <c r="O38" s="5"/>
      <c r="P38" s="5"/>
      <c r="Q38" s="5"/>
      <c r="R38" s="5"/>
      <c r="S38" s="5"/>
      <c r="T38" s="5"/>
      <c r="U38" s="5"/>
      <c r="V38" s="5"/>
      <c r="W38" s="93"/>
      <c r="X38" s="93"/>
    </row>
    <row r="39" spans="1:24" s="75" customFormat="1" x14ac:dyDescent="0.35">
      <c r="A39" s="91"/>
      <c r="B39"/>
      <c r="C39"/>
      <c r="D39"/>
      <c r="E39" s="76"/>
      <c r="O39" s="5"/>
      <c r="P39" s="5"/>
      <c r="Q39" s="5"/>
      <c r="R39" s="5"/>
      <c r="S39" s="5"/>
      <c r="T39" s="5"/>
      <c r="U39" s="5"/>
      <c r="V39" s="5"/>
      <c r="W39" s="93"/>
      <c r="X39" s="93"/>
    </row>
    <row r="40" spans="1:24" s="75" customFormat="1" x14ac:dyDescent="0.35">
      <c r="A40" s="91"/>
      <c r="B40"/>
      <c r="C40"/>
      <c r="D40"/>
      <c r="E40" s="76"/>
      <c r="O40" s="5"/>
      <c r="P40" s="5"/>
      <c r="Q40" s="5"/>
      <c r="R40" s="5"/>
      <c r="S40" s="5"/>
      <c r="T40" s="5"/>
      <c r="U40" s="5"/>
      <c r="V40" s="5"/>
      <c r="W40" s="93"/>
      <c r="X40" s="93"/>
    </row>
    <row r="41" spans="1:24" s="75" customFormat="1" x14ac:dyDescent="0.35">
      <c r="A41" s="91"/>
      <c r="B41"/>
      <c r="C41"/>
      <c r="D41"/>
      <c r="E41" s="76"/>
      <c r="O41" s="5"/>
      <c r="P41" s="5"/>
      <c r="Q41" s="5"/>
      <c r="R41" s="5"/>
      <c r="S41" s="5"/>
      <c r="T41" s="5"/>
      <c r="U41" s="5"/>
      <c r="V41" s="5"/>
      <c r="W41" s="93"/>
      <c r="X41" s="93"/>
    </row>
    <row r="42" spans="1:24" s="75" customFormat="1" x14ac:dyDescent="0.35">
      <c r="A42" s="91"/>
      <c r="B42"/>
      <c r="C42"/>
      <c r="D42" s="5"/>
      <c r="O42" s="5"/>
      <c r="P42" s="5"/>
      <c r="Q42" s="5"/>
      <c r="R42" s="5"/>
      <c r="S42" s="5"/>
      <c r="T42" s="5"/>
      <c r="U42" s="5"/>
      <c r="V42" s="5"/>
      <c r="W42" s="93"/>
      <c r="X42" s="93"/>
    </row>
    <row r="43" spans="1:24" s="75" customFormat="1" x14ac:dyDescent="0.35">
      <c r="A43" s="91"/>
      <c r="B43"/>
      <c r="C43"/>
      <c r="D43" s="5"/>
      <c r="O43" s="5"/>
      <c r="P43" s="5"/>
      <c r="Q43" s="5"/>
      <c r="R43" s="5"/>
      <c r="S43" s="5"/>
      <c r="T43" s="5"/>
      <c r="U43" s="5"/>
      <c r="V43" s="5"/>
      <c r="W43" s="93"/>
      <c r="X43" s="93"/>
    </row>
    <row r="44" spans="1:24" s="75" customFormat="1" x14ac:dyDescent="0.35">
      <c r="A44" s="91"/>
      <c r="B44"/>
      <c r="C44"/>
      <c r="D44" s="5"/>
      <c r="O44" s="5"/>
      <c r="P44" s="5"/>
      <c r="Q44" s="5"/>
      <c r="R44" s="5"/>
      <c r="S44" s="5"/>
      <c r="T44" s="5"/>
      <c r="U44" s="5"/>
      <c r="V44" s="5"/>
      <c r="W44" s="93"/>
      <c r="X44" s="93"/>
    </row>
    <row r="45" spans="1:24" s="75" customFormat="1" x14ac:dyDescent="0.35">
      <c r="A45" s="91"/>
      <c r="B45"/>
      <c r="C45"/>
      <c r="D45" s="5"/>
      <c r="O45" s="5"/>
      <c r="P45" s="5"/>
      <c r="Q45" s="5"/>
      <c r="R45" s="5"/>
      <c r="S45" s="5"/>
      <c r="T45" s="5"/>
      <c r="U45" s="5"/>
      <c r="V45" s="5"/>
      <c r="W45" s="93"/>
      <c r="X45" s="93"/>
    </row>
    <row r="46" spans="1:24" s="75" customFormat="1" x14ac:dyDescent="0.35">
      <c r="A46" s="91"/>
      <c r="B46"/>
      <c r="C46"/>
      <c r="D46" s="5"/>
      <c r="O46" s="5"/>
      <c r="P46" s="5"/>
      <c r="Q46" s="5"/>
      <c r="R46" s="5"/>
      <c r="S46" s="5"/>
      <c r="T46" s="5"/>
      <c r="U46" s="5"/>
      <c r="V46" s="5"/>
      <c r="W46" s="93"/>
      <c r="X46" s="93"/>
    </row>
    <row r="47" spans="1:24" s="75" customFormat="1" x14ac:dyDescent="0.35">
      <c r="A47" s="91"/>
      <c r="B47"/>
      <c r="C47"/>
      <c r="D47" s="5"/>
      <c r="O47" s="5"/>
      <c r="P47" s="5"/>
      <c r="Q47" s="5"/>
      <c r="R47" s="5"/>
      <c r="S47" s="5"/>
      <c r="T47" s="5"/>
      <c r="U47" s="5"/>
      <c r="V47" s="5"/>
      <c r="W47" s="93"/>
      <c r="X47" s="93"/>
    </row>
    <row r="48" spans="1:24" s="75" customFormat="1" x14ac:dyDescent="0.35">
      <c r="A48" s="91"/>
      <c r="B48"/>
      <c r="C48"/>
      <c r="D48" s="5"/>
      <c r="O48" s="5"/>
      <c r="P48" s="5"/>
      <c r="Q48" s="5"/>
      <c r="R48" s="5"/>
      <c r="S48" s="5"/>
      <c r="T48" s="5"/>
      <c r="U48" s="5"/>
      <c r="V48" s="5"/>
      <c r="W48" s="93"/>
      <c r="X48" s="93"/>
    </row>
    <row r="49" spans="1:24" s="75" customFormat="1" x14ac:dyDescent="0.35">
      <c r="A49" s="91"/>
      <c r="B49"/>
      <c r="C49"/>
      <c r="D49" s="5"/>
      <c r="O49" s="5"/>
      <c r="P49" s="5"/>
      <c r="Q49" s="5"/>
      <c r="R49" s="5"/>
      <c r="S49" s="5"/>
      <c r="T49" s="5"/>
      <c r="U49" s="5"/>
      <c r="V49" s="5"/>
      <c r="W49" s="93"/>
      <c r="X49" s="93"/>
    </row>
    <row r="50" spans="1:24" s="75" customFormat="1" x14ac:dyDescent="0.35">
      <c r="A50" s="91"/>
      <c r="B50"/>
      <c r="C50"/>
      <c r="D50" s="5"/>
      <c r="O50" s="5"/>
      <c r="P50" s="5"/>
      <c r="Q50" s="5"/>
      <c r="R50" s="5"/>
      <c r="S50" s="5"/>
      <c r="T50" s="5"/>
      <c r="U50" s="5"/>
      <c r="V50" s="5"/>
      <c r="W50" s="93"/>
      <c r="X50" s="93"/>
    </row>
    <row r="51" spans="1:24" s="75" customFormat="1" x14ac:dyDescent="0.35">
      <c r="A51" s="91"/>
      <c r="B51"/>
      <c r="C51"/>
      <c r="D51" s="5"/>
      <c r="O51" s="5"/>
      <c r="P51" s="5"/>
      <c r="Q51" s="5"/>
      <c r="R51" s="5"/>
      <c r="S51" s="5"/>
      <c r="T51" s="5"/>
      <c r="U51" s="5"/>
      <c r="V51" s="5"/>
      <c r="W51" s="93"/>
      <c r="X51" s="93"/>
    </row>
    <row r="52" spans="1:24" s="75" customFormat="1" x14ac:dyDescent="0.35">
      <c r="A52" s="91"/>
      <c r="B52"/>
      <c r="C52"/>
      <c r="D52" s="5"/>
      <c r="O52" s="5"/>
      <c r="P52" s="5"/>
      <c r="Q52" s="5"/>
      <c r="R52" s="5"/>
      <c r="S52" s="5"/>
      <c r="T52" s="5"/>
      <c r="U52" s="5"/>
      <c r="V52" s="5"/>
      <c r="W52" s="93"/>
      <c r="X52" s="93"/>
    </row>
    <row r="53" spans="1:24" s="75" customFormat="1" x14ac:dyDescent="0.35">
      <c r="A53" s="91"/>
      <c r="B53"/>
      <c r="C53"/>
      <c r="D53" s="5"/>
      <c r="O53" s="5"/>
      <c r="P53" s="5"/>
      <c r="Q53" s="5"/>
      <c r="R53" s="5"/>
      <c r="S53" s="5"/>
      <c r="T53" s="5"/>
      <c r="U53" s="5"/>
      <c r="V53" s="5"/>
      <c r="W53" s="93"/>
      <c r="X53" s="93"/>
    </row>
    <row r="54" spans="1:24" s="75" customFormat="1" x14ac:dyDescent="0.35">
      <c r="A54" s="91"/>
      <c r="B54"/>
      <c r="C54"/>
      <c r="D54" s="5"/>
      <c r="O54" s="5"/>
      <c r="P54" s="5"/>
      <c r="Q54" s="5"/>
      <c r="R54" s="5"/>
      <c r="S54" s="5"/>
      <c r="T54" s="5"/>
      <c r="U54" s="5"/>
      <c r="V54" s="5"/>
      <c r="W54" s="93"/>
      <c r="X54" s="93"/>
    </row>
    <row r="55" spans="1:24" s="75" customFormat="1" x14ac:dyDescent="0.35">
      <c r="A55" s="91"/>
      <c r="B55"/>
      <c r="C55"/>
      <c r="D55" s="5"/>
      <c r="O55" s="5"/>
      <c r="P55" s="5"/>
      <c r="Q55" s="5"/>
      <c r="R55" s="5"/>
      <c r="S55" s="5"/>
      <c r="T55" s="5"/>
      <c r="U55" s="5"/>
      <c r="V55" s="5"/>
      <c r="W55" s="93"/>
      <c r="X55" s="93"/>
    </row>
    <row r="56" spans="1:24" s="75" customFormat="1" x14ac:dyDescent="0.35">
      <c r="A56" s="91"/>
      <c r="B56" s="89"/>
      <c r="C56" s="5"/>
      <c r="D56" s="5"/>
      <c r="O56" s="5"/>
      <c r="P56" s="5"/>
      <c r="Q56" s="5"/>
      <c r="R56" s="5"/>
      <c r="S56" s="5"/>
      <c r="T56" s="5"/>
      <c r="U56" s="5"/>
      <c r="V56" s="5"/>
      <c r="W56" s="93"/>
      <c r="X56" s="93"/>
    </row>
    <row r="57" spans="1:24" s="75" customFormat="1" x14ac:dyDescent="0.35">
      <c r="A57" s="91"/>
      <c r="B57" s="89"/>
      <c r="C57" s="5"/>
      <c r="D57" s="5"/>
      <c r="O57" s="5"/>
      <c r="P57" s="5"/>
      <c r="Q57" s="5"/>
      <c r="R57" s="5"/>
      <c r="S57" s="5"/>
      <c r="T57" s="5"/>
      <c r="U57" s="5"/>
      <c r="V57" s="5"/>
      <c r="W57" s="93"/>
      <c r="X57" s="93"/>
    </row>
    <row r="58" spans="1:24" s="75" customFormat="1" x14ac:dyDescent="0.35">
      <c r="A58" s="91"/>
      <c r="B58" s="89"/>
      <c r="C58" s="5"/>
      <c r="D58" s="5"/>
      <c r="O58" s="5"/>
      <c r="P58" s="5"/>
      <c r="Q58" s="5"/>
      <c r="R58" s="5"/>
      <c r="S58" s="5"/>
      <c r="T58" s="5"/>
      <c r="U58" s="5"/>
      <c r="V58" s="5"/>
      <c r="W58" s="93"/>
      <c r="X58" s="93"/>
    </row>
    <row r="59" spans="1:24" s="75" customFormat="1" x14ac:dyDescent="0.35">
      <c r="A59" s="91"/>
      <c r="B59" s="89"/>
      <c r="C59" s="5"/>
      <c r="D59" s="5"/>
      <c r="O59" s="5"/>
      <c r="P59" s="5"/>
      <c r="Q59" s="5"/>
      <c r="R59" s="5"/>
      <c r="S59" s="5"/>
      <c r="T59" s="5"/>
      <c r="U59" s="5"/>
      <c r="V59" s="5"/>
      <c r="W59" s="93"/>
      <c r="X59" s="93"/>
    </row>
    <row r="60" spans="1:24" s="75" customFormat="1" hidden="1" x14ac:dyDescent="0.35">
      <c r="A60" s="91"/>
      <c r="B60" s="89"/>
      <c r="C60" s="5"/>
      <c r="D60" s="5"/>
      <c r="O60" s="5"/>
      <c r="P60" s="5"/>
      <c r="Q60" s="5"/>
      <c r="R60" s="5"/>
      <c r="S60" s="5"/>
      <c r="T60" s="5"/>
      <c r="U60" s="5"/>
      <c r="V60" s="5"/>
      <c r="W60" s="93"/>
      <c r="X60" s="93"/>
    </row>
    <row r="61" spans="1:24" s="75" customFormat="1" hidden="1" x14ac:dyDescent="0.35">
      <c r="A61" s="91"/>
      <c r="B61" s="89"/>
      <c r="C61" s="5"/>
      <c r="D61" s="5"/>
      <c r="O61" s="5"/>
      <c r="P61" s="5"/>
      <c r="Q61" s="5"/>
      <c r="R61" s="5"/>
      <c r="S61" s="5"/>
      <c r="T61" s="5"/>
      <c r="U61" s="5"/>
      <c r="V61" s="5"/>
      <c r="W61" s="93"/>
      <c r="X61" s="93"/>
    </row>
    <row r="62" spans="1:24" s="75" customFormat="1" hidden="1" x14ac:dyDescent="0.35">
      <c r="A62" s="91"/>
      <c r="B62" s="89"/>
      <c r="C62" s="5"/>
      <c r="D62" s="5"/>
      <c r="O62" s="5"/>
      <c r="P62" s="5"/>
      <c r="Q62" s="5"/>
      <c r="R62" s="5"/>
      <c r="S62" s="5"/>
      <c r="T62" s="5"/>
      <c r="U62" s="5"/>
      <c r="V62" s="5"/>
      <c r="W62" s="93"/>
      <c r="X62" s="93"/>
    </row>
    <row r="63" spans="1:24" s="75" customFormat="1" hidden="1" x14ac:dyDescent="0.35">
      <c r="A63" s="92"/>
      <c r="B63" s="57"/>
      <c r="C63"/>
      <c r="D63"/>
      <c r="E63" s="76"/>
      <c r="O63" s="5"/>
      <c r="P63" s="5"/>
      <c r="Q63" s="5"/>
      <c r="R63" s="5"/>
      <c r="S63" s="5"/>
      <c r="T63" s="5"/>
      <c r="U63" s="5"/>
      <c r="V63" s="5"/>
      <c r="W63" s="93"/>
      <c r="X63" s="93"/>
    </row>
    <row r="64" spans="1:24" s="75" customFormat="1" hidden="1" x14ac:dyDescent="0.35">
      <c r="A64" s="92"/>
      <c r="B64" s="57"/>
      <c r="C64"/>
      <c r="D64"/>
      <c r="E64" s="76"/>
      <c r="O64" s="5"/>
      <c r="P64" s="5"/>
      <c r="Q64" s="5"/>
      <c r="R64" s="5"/>
      <c r="S64" s="5"/>
      <c r="T64" s="5"/>
      <c r="U64" s="5"/>
      <c r="V64" s="5"/>
      <c r="W64" s="93"/>
      <c r="X64" s="93"/>
    </row>
    <row r="65" spans="1:24" s="75" customFormat="1" hidden="1" x14ac:dyDescent="0.35">
      <c r="A65" s="92"/>
      <c r="B65" s="57"/>
      <c r="C65"/>
      <c r="D65"/>
      <c r="E65" s="76"/>
      <c r="O65" s="5"/>
      <c r="P65" s="5"/>
      <c r="Q65" s="5"/>
      <c r="R65" s="5"/>
      <c r="S65" s="5"/>
      <c r="T65" s="5"/>
      <c r="U65" s="5"/>
      <c r="V65" s="5"/>
      <c r="W65" s="93"/>
      <c r="X65" s="93"/>
    </row>
    <row r="66" spans="1:24" s="75" customFormat="1" hidden="1" x14ac:dyDescent="0.35">
      <c r="A66" s="92"/>
      <c r="B66" s="57"/>
      <c r="C66"/>
      <c r="D66"/>
      <c r="E66" s="76"/>
      <c r="O66" s="5"/>
      <c r="P66" s="5"/>
      <c r="Q66" s="5"/>
      <c r="R66" s="5"/>
      <c r="S66" s="5"/>
      <c r="T66" s="5"/>
      <c r="U66" s="5"/>
      <c r="V66" s="5"/>
      <c r="W66" s="93"/>
      <c r="X66" s="93"/>
    </row>
    <row r="67" spans="1:24" s="75" customFormat="1" hidden="1" x14ac:dyDescent="0.35">
      <c r="A67" s="92"/>
      <c r="B67" s="57"/>
      <c r="C67"/>
      <c r="D67"/>
      <c r="E67" s="76"/>
      <c r="O67" s="5"/>
      <c r="P67" s="5"/>
      <c r="Q67" s="5"/>
      <c r="R67" s="5"/>
      <c r="S67" s="5"/>
      <c r="T67" s="5"/>
      <c r="U67" s="5"/>
      <c r="V67" s="5"/>
      <c r="W67" s="93"/>
      <c r="X67" s="93"/>
    </row>
    <row r="68" spans="1:24" s="75" customFormat="1" hidden="1" x14ac:dyDescent="0.35">
      <c r="A68" s="92"/>
      <c r="B68" s="57"/>
      <c r="C68"/>
      <c r="D68"/>
      <c r="E68" s="76"/>
      <c r="O68" s="5"/>
      <c r="P68" s="5"/>
      <c r="Q68" s="5"/>
      <c r="R68" s="5"/>
      <c r="S68" s="5"/>
      <c r="T68" s="5"/>
      <c r="U68" s="5"/>
      <c r="V68" s="5"/>
      <c r="W68" s="93"/>
      <c r="X68" s="93"/>
    </row>
    <row r="69" spans="1:24" s="75" customFormat="1" hidden="1" x14ac:dyDescent="0.35">
      <c r="A69" s="92"/>
      <c r="B69" s="57"/>
      <c r="C69"/>
      <c r="D69"/>
      <c r="E69" s="76"/>
      <c r="O69" s="5"/>
      <c r="P69" s="5"/>
      <c r="Q69" s="5"/>
      <c r="R69" s="5"/>
      <c r="S69" s="5"/>
      <c r="T69" s="5"/>
      <c r="U69" s="5"/>
      <c r="V69" s="5"/>
      <c r="W69" s="93"/>
      <c r="X69" s="93"/>
    </row>
    <row r="70" spans="1:24" s="75" customFormat="1" hidden="1" x14ac:dyDescent="0.35">
      <c r="A70" s="92"/>
      <c r="B70" s="57"/>
      <c r="C70"/>
      <c r="D70"/>
      <c r="E70" s="76"/>
      <c r="O70" s="5"/>
      <c r="P70" s="5"/>
      <c r="Q70" s="5"/>
      <c r="R70" s="5"/>
      <c r="S70" s="5"/>
      <c r="T70" s="5"/>
      <c r="U70" s="5"/>
      <c r="V70" s="5"/>
      <c r="W70" s="93"/>
      <c r="X70" s="93"/>
    </row>
    <row r="71" spans="1:24" s="75" customFormat="1" hidden="1" x14ac:dyDescent="0.35">
      <c r="A71" s="92"/>
      <c r="B71" s="57"/>
      <c r="C71"/>
      <c r="D71"/>
      <c r="E71" s="76"/>
      <c r="O71" s="5"/>
      <c r="P71" s="5"/>
      <c r="Q71" s="5"/>
      <c r="R71" s="5"/>
      <c r="S71" s="5"/>
      <c r="T71" s="5"/>
      <c r="U71" s="5"/>
      <c r="V71" s="5"/>
      <c r="W71" s="93"/>
      <c r="X71" s="93"/>
    </row>
    <row r="72" spans="1:24" s="75" customFormat="1" hidden="1" x14ac:dyDescent="0.35">
      <c r="A72" s="92"/>
      <c r="B72" s="57"/>
      <c r="C72"/>
      <c r="D72"/>
      <c r="E72" s="76"/>
      <c r="O72" s="5"/>
      <c r="P72" s="5"/>
      <c r="Q72" s="5"/>
      <c r="R72" s="5"/>
      <c r="S72" s="5"/>
      <c r="T72" s="5"/>
      <c r="U72" s="5"/>
      <c r="V72" s="5"/>
      <c r="W72" s="93"/>
      <c r="X72" s="93"/>
    </row>
    <row r="73" spans="1:24" s="75" customFormat="1" hidden="1" x14ac:dyDescent="0.35">
      <c r="A73" s="92"/>
      <c r="B73" s="57"/>
      <c r="C73"/>
      <c r="D73"/>
      <c r="E73" s="76"/>
      <c r="O73" s="5"/>
      <c r="P73" s="5"/>
      <c r="Q73" s="5"/>
      <c r="R73" s="5"/>
      <c r="S73" s="5"/>
      <c r="T73" s="5"/>
      <c r="U73" s="5"/>
      <c r="V73" s="5"/>
      <c r="W73" s="93"/>
      <c r="X73" s="93"/>
    </row>
    <row r="74" spans="1:24" s="75" customFormat="1" hidden="1" x14ac:dyDescent="0.35">
      <c r="A74" s="92"/>
      <c r="B74" s="57"/>
      <c r="C74"/>
      <c r="D74"/>
      <c r="E74" s="76"/>
      <c r="O74" s="5"/>
      <c r="P74" s="5"/>
      <c r="Q74" s="5"/>
      <c r="R74" s="5"/>
      <c r="S74" s="5"/>
      <c r="T74" s="5"/>
      <c r="U74" s="5"/>
      <c r="V74" s="5"/>
      <c r="W74" s="93"/>
      <c r="X74" s="93"/>
    </row>
    <row r="75" spans="1:24" s="75" customFormat="1" hidden="1" x14ac:dyDescent="0.35">
      <c r="A75" s="92"/>
      <c r="B75" s="57"/>
      <c r="C75"/>
      <c r="D75"/>
      <c r="E75" s="76"/>
      <c r="O75" s="5"/>
      <c r="P75" s="5"/>
      <c r="Q75" s="5"/>
      <c r="R75" s="5"/>
      <c r="S75" s="5"/>
      <c r="T75" s="5"/>
      <c r="U75" s="5"/>
      <c r="V75" s="5"/>
      <c r="W75" s="93"/>
      <c r="X75" s="93"/>
    </row>
    <row r="76" spans="1:24" s="75" customFormat="1" hidden="1" x14ac:dyDescent="0.35">
      <c r="A76" s="92"/>
      <c r="B76" s="57"/>
      <c r="C76"/>
      <c r="D76"/>
      <c r="E76" s="76"/>
      <c r="O76" s="5"/>
      <c r="P76" s="5"/>
      <c r="Q76" s="5"/>
      <c r="R76" s="5"/>
      <c r="S76" s="5"/>
      <c r="T76" s="5"/>
      <c r="U76" s="5"/>
      <c r="V76" s="5"/>
      <c r="W76" s="93"/>
      <c r="X76" s="93"/>
    </row>
    <row r="77" spans="1:24" hidden="1" x14ac:dyDescent="0.35">
      <c r="A77" s="90"/>
      <c r="B77" s="57"/>
      <c r="C77"/>
      <c r="D77"/>
      <c r="E77" s="76"/>
      <c r="F77" s="75"/>
    </row>
    <row r="78" spans="1:24" hidden="1" x14ac:dyDescent="0.35">
      <c r="A78" s="90"/>
      <c r="B78" s="57"/>
      <c r="C78"/>
      <c r="D78"/>
      <c r="E78" s="76"/>
      <c r="F78" s="75"/>
    </row>
    <row r="79" spans="1:24" hidden="1" x14ac:dyDescent="0.35">
      <c r="A79" s="90"/>
      <c r="B79" s="57"/>
      <c r="C79"/>
      <c r="D79"/>
      <c r="E79" s="76"/>
      <c r="F79" s="75"/>
    </row>
    <row r="80" spans="1:24" hidden="1" x14ac:dyDescent="0.35">
      <c r="A80" s="90"/>
      <c r="B80" s="57"/>
      <c r="C80"/>
      <c r="D80"/>
      <c r="E80" s="76"/>
      <c r="F80" s="75"/>
    </row>
    <row r="81" spans="1:6" hidden="1" x14ac:dyDescent="0.35">
      <c r="A81" s="90"/>
      <c r="B81" s="57"/>
      <c r="C81"/>
      <c r="D81"/>
      <c r="E81" s="76"/>
      <c r="F81" s="75"/>
    </row>
    <row r="82" spans="1:6" hidden="1" x14ac:dyDescent="0.35">
      <c r="A82" s="90"/>
      <c r="B82" s="57"/>
      <c r="C82"/>
      <c r="D82"/>
      <c r="E82" s="76"/>
      <c r="F82" s="75"/>
    </row>
    <row r="83" spans="1:6" hidden="1" x14ac:dyDescent="0.35">
      <c r="A83" s="90"/>
      <c r="B83" s="57"/>
      <c r="C83"/>
      <c r="D83"/>
      <c r="E83" s="76"/>
      <c r="F83" s="75"/>
    </row>
    <row r="84" spans="1:6" hidden="1" x14ac:dyDescent="0.35">
      <c r="A84" s="90"/>
      <c r="B84" s="57"/>
      <c r="C84"/>
      <c r="D84"/>
      <c r="E84" s="76"/>
      <c r="F84" s="75"/>
    </row>
    <row r="85" spans="1:6" hidden="1" x14ac:dyDescent="0.35">
      <c r="A85" s="90"/>
      <c r="B85" s="57"/>
      <c r="C85"/>
      <c r="D85"/>
      <c r="E85" s="76"/>
      <c r="F85" s="75"/>
    </row>
    <row r="86" spans="1:6" hidden="1" x14ac:dyDescent="0.35">
      <c r="A86" s="90"/>
      <c r="B86" s="57"/>
      <c r="C86"/>
      <c r="D86"/>
      <c r="E86" s="76"/>
      <c r="F86" s="75"/>
    </row>
    <row r="87" spans="1:6" hidden="1" x14ac:dyDescent="0.35">
      <c r="A87" s="90"/>
      <c r="B87" s="57"/>
      <c r="C87"/>
      <c r="D87"/>
      <c r="E87" s="76"/>
      <c r="F87" s="75"/>
    </row>
    <row r="88" spans="1:6" hidden="1" x14ac:dyDescent="0.35">
      <c r="A88" s="90"/>
      <c r="B88" s="57"/>
      <c r="C88"/>
      <c r="D88"/>
      <c r="E88" s="76"/>
      <c r="F88" s="75"/>
    </row>
    <row r="89" spans="1:6" hidden="1" x14ac:dyDescent="0.35">
      <c r="A89" s="90"/>
      <c r="B89" s="57"/>
      <c r="C89"/>
      <c r="D89"/>
      <c r="E89" s="76"/>
      <c r="F89" s="75"/>
    </row>
    <row r="90" spans="1:6" hidden="1" x14ac:dyDescent="0.35">
      <c r="A90" s="90"/>
      <c r="B90" s="57"/>
      <c r="C90"/>
      <c r="D90"/>
      <c r="E90" s="76"/>
      <c r="F90" s="75"/>
    </row>
    <row r="91" spans="1:6" hidden="1" x14ac:dyDescent="0.35">
      <c r="A91" s="90"/>
      <c r="B91" s="57"/>
      <c r="C91"/>
      <c r="D91"/>
      <c r="E91" s="76"/>
      <c r="F91" s="75"/>
    </row>
    <row r="92" spans="1:6" hidden="1" x14ac:dyDescent="0.35">
      <c r="A92" s="90"/>
      <c r="B92" s="57"/>
      <c r="C92"/>
      <c r="D92"/>
      <c r="E92" s="76"/>
      <c r="F92" s="75"/>
    </row>
    <row r="93" spans="1:6" hidden="1" x14ac:dyDescent="0.35">
      <c r="A93" s="90"/>
      <c r="B93" s="57"/>
      <c r="C93"/>
      <c r="D93"/>
      <c r="E93" s="76"/>
      <c r="F93" s="75"/>
    </row>
    <row r="94" spans="1:6" hidden="1" x14ac:dyDescent="0.35">
      <c r="A94" s="90"/>
      <c r="B94" s="57"/>
      <c r="C94"/>
      <c r="D94"/>
      <c r="E94" s="76"/>
      <c r="F94" s="75"/>
    </row>
    <row r="95" spans="1:6" hidden="1" x14ac:dyDescent="0.35">
      <c r="A95" s="90"/>
      <c r="B95" s="57"/>
      <c r="C95"/>
      <c r="D95"/>
      <c r="E95" s="76"/>
      <c r="F95" s="75"/>
    </row>
    <row r="96" spans="1:6" hidden="1" x14ac:dyDescent="0.35">
      <c r="A96" s="90"/>
      <c r="B96" s="57"/>
      <c r="C96"/>
      <c r="D96"/>
      <c r="E96" s="76"/>
      <c r="F96" s="75"/>
    </row>
    <row r="97" spans="1:6" hidden="1" x14ac:dyDescent="0.35">
      <c r="A97" s="90"/>
      <c r="B97" s="57"/>
      <c r="C97"/>
      <c r="D97"/>
      <c r="E97" s="76"/>
      <c r="F97" s="75"/>
    </row>
    <row r="98" spans="1:6" hidden="1" x14ac:dyDescent="0.35">
      <c r="A98" s="90"/>
      <c r="B98" s="57"/>
      <c r="C98"/>
      <c r="D98"/>
      <c r="E98" s="76"/>
      <c r="F98" s="75"/>
    </row>
    <row r="99" spans="1:6" hidden="1" x14ac:dyDescent="0.35">
      <c r="A99" s="90"/>
      <c r="B99" s="57"/>
      <c r="C99"/>
      <c r="D99"/>
      <c r="E99" s="76"/>
      <c r="F99" s="75"/>
    </row>
    <row r="100" spans="1:6" hidden="1" x14ac:dyDescent="0.35">
      <c r="A100" s="90"/>
      <c r="B100" s="57"/>
      <c r="C100"/>
      <c r="D100"/>
      <c r="E100" s="76"/>
      <c r="F100" s="75"/>
    </row>
    <row r="101" spans="1:6" hidden="1" x14ac:dyDescent="0.35">
      <c r="A101" s="90"/>
      <c r="B101" s="57"/>
      <c r="C101"/>
      <c r="D101"/>
      <c r="E101" s="76"/>
      <c r="F101" s="75"/>
    </row>
    <row r="102" spans="1:6" hidden="1" x14ac:dyDescent="0.35">
      <c r="A102" s="90"/>
      <c r="B102" s="57"/>
      <c r="C102"/>
      <c r="D102"/>
      <c r="E102" s="76"/>
      <c r="F102" s="75"/>
    </row>
    <row r="103" spans="1:6" hidden="1" x14ac:dyDescent="0.35">
      <c r="A103" s="90"/>
      <c r="B103" s="57"/>
      <c r="C103"/>
      <c r="D103"/>
      <c r="E103" s="76"/>
      <c r="F103" s="75"/>
    </row>
    <row r="104" spans="1:6" hidden="1" x14ac:dyDescent="0.35">
      <c r="A104" s="90"/>
      <c r="B104" s="57"/>
      <c r="C104"/>
      <c r="D104"/>
      <c r="E104" s="76"/>
      <c r="F104" s="75"/>
    </row>
    <row r="105" spans="1:6" hidden="1" x14ac:dyDescent="0.35">
      <c r="A105" s="90"/>
      <c r="B105" s="57"/>
      <c r="C105"/>
      <c r="D105"/>
      <c r="E105" s="76"/>
      <c r="F105" s="75"/>
    </row>
    <row r="106" spans="1:6" hidden="1" x14ac:dyDescent="0.35">
      <c r="A106" s="90"/>
      <c r="B106" s="57"/>
      <c r="C106"/>
      <c r="D106"/>
      <c r="E106" s="76"/>
      <c r="F106" s="75"/>
    </row>
    <row r="107" spans="1:6" hidden="1" x14ac:dyDescent="0.35">
      <c r="A107" s="90"/>
      <c r="B107" s="57"/>
      <c r="C107"/>
      <c r="D107"/>
      <c r="E107" s="76"/>
      <c r="F107" s="75"/>
    </row>
    <row r="108" spans="1:6" hidden="1" x14ac:dyDescent="0.35">
      <c r="A108" s="90"/>
      <c r="B108" s="57"/>
      <c r="C108"/>
      <c r="D108"/>
      <c r="E108" s="76"/>
      <c r="F108" s="75"/>
    </row>
    <row r="109" spans="1:6" hidden="1" x14ac:dyDescent="0.35">
      <c r="A109" s="90"/>
      <c r="B109" s="57"/>
      <c r="C109"/>
      <c r="D109"/>
      <c r="E109" s="76"/>
      <c r="F109" s="75"/>
    </row>
    <row r="110" spans="1:6" hidden="1" x14ac:dyDescent="0.35">
      <c r="A110" s="90"/>
      <c r="B110" s="57"/>
      <c r="C110"/>
      <c r="D110"/>
      <c r="E110" s="76"/>
      <c r="F110" s="75"/>
    </row>
    <row r="111" spans="1:6" hidden="1" x14ac:dyDescent="0.35">
      <c r="A111" s="90"/>
      <c r="B111" s="57"/>
      <c r="C111"/>
      <c r="D111"/>
      <c r="E111" s="76"/>
      <c r="F111" s="75"/>
    </row>
    <row r="112" spans="1:6" hidden="1" x14ac:dyDescent="0.35">
      <c r="A112" s="90"/>
      <c r="B112" s="57"/>
      <c r="C112"/>
      <c r="D112"/>
      <c r="E112" s="76"/>
      <c r="F112" s="75"/>
    </row>
    <row r="113" spans="1:6" hidden="1" x14ac:dyDescent="0.35">
      <c r="A113" s="90"/>
      <c r="B113" s="57"/>
      <c r="C113"/>
      <c r="D113"/>
      <c r="E113" s="76"/>
      <c r="F113" s="75"/>
    </row>
    <row r="114" spans="1:6" hidden="1" x14ac:dyDescent="0.35">
      <c r="A114" s="90"/>
      <c r="B114" s="57"/>
      <c r="C114"/>
      <c r="D114"/>
      <c r="E114" s="76"/>
      <c r="F114" s="75"/>
    </row>
    <row r="115" spans="1:6" hidden="1" x14ac:dyDescent="0.35">
      <c r="A115" s="90"/>
      <c r="B115" s="57"/>
      <c r="C115"/>
      <c r="D115"/>
      <c r="E115" s="76"/>
      <c r="F115" s="75"/>
    </row>
    <row r="116" spans="1:6" hidden="1" x14ac:dyDescent="0.35">
      <c r="A116" s="90"/>
      <c r="B116" s="57"/>
      <c r="C116"/>
      <c r="D116"/>
      <c r="E116" s="76"/>
      <c r="F116" s="75"/>
    </row>
    <row r="117" spans="1:6" hidden="1" x14ac:dyDescent="0.35">
      <c r="A117" s="90"/>
      <c r="B117" s="57"/>
      <c r="C117"/>
      <c r="D117"/>
      <c r="E117" s="76"/>
      <c r="F117" s="75"/>
    </row>
    <row r="118" spans="1:6" hidden="1" x14ac:dyDescent="0.35">
      <c r="A118" s="90"/>
      <c r="B118" s="57"/>
      <c r="C118"/>
      <c r="D118"/>
      <c r="E118" s="76"/>
      <c r="F118" s="75"/>
    </row>
    <row r="119" spans="1:6" hidden="1" x14ac:dyDescent="0.35">
      <c r="A119" s="90"/>
      <c r="B119" s="57"/>
      <c r="C119"/>
      <c r="D119"/>
      <c r="E119" s="76"/>
      <c r="F119" s="75"/>
    </row>
    <row r="120" spans="1:6" hidden="1" x14ac:dyDescent="0.35">
      <c r="A120" s="90"/>
      <c r="B120" s="57"/>
      <c r="C120"/>
      <c r="D120"/>
      <c r="E120" s="76"/>
      <c r="F120" s="75"/>
    </row>
    <row r="121" spans="1:6" hidden="1" x14ac:dyDescent="0.35">
      <c r="A121" s="90"/>
      <c r="B121" s="57"/>
      <c r="C121"/>
      <c r="D121"/>
      <c r="E121" s="76"/>
      <c r="F121" s="75"/>
    </row>
    <row r="122" spans="1:6" hidden="1" x14ac:dyDescent="0.35">
      <c r="A122" s="90"/>
      <c r="B122" s="57"/>
      <c r="C122"/>
      <c r="D122"/>
      <c r="E122" s="76"/>
      <c r="F122" s="75"/>
    </row>
    <row r="123" spans="1:6" hidden="1" x14ac:dyDescent="0.35">
      <c r="A123" s="90"/>
      <c r="B123" s="57"/>
      <c r="C123"/>
      <c r="D123"/>
      <c r="E123" s="76"/>
      <c r="F123" s="75"/>
    </row>
    <row r="124" spans="1:6" hidden="1" x14ac:dyDescent="0.35">
      <c r="A124" s="90"/>
      <c r="B124" s="57"/>
      <c r="C124"/>
      <c r="D124"/>
      <c r="E124" s="76"/>
      <c r="F124" s="75"/>
    </row>
    <row r="125" spans="1:6" hidden="1" x14ac:dyDescent="0.35">
      <c r="A125" s="90"/>
      <c r="B125" s="57"/>
      <c r="C125"/>
      <c r="D125"/>
      <c r="E125" s="76"/>
      <c r="F125" s="75"/>
    </row>
    <row r="126" spans="1:6" hidden="1" x14ac:dyDescent="0.35">
      <c r="A126" s="90"/>
      <c r="B126" s="57"/>
      <c r="C126"/>
      <c r="D126"/>
      <c r="E126" s="76"/>
      <c r="F126" s="75"/>
    </row>
    <row r="127" spans="1:6" hidden="1" x14ac:dyDescent="0.35">
      <c r="A127" s="90"/>
      <c r="B127" s="57"/>
      <c r="C127"/>
      <c r="D127"/>
      <c r="E127" s="76"/>
      <c r="F127" s="75"/>
    </row>
    <row r="128" spans="1:6" hidden="1" x14ac:dyDescent="0.35">
      <c r="A128" s="90"/>
      <c r="B128" s="57"/>
      <c r="C128"/>
      <c r="D128"/>
      <c r="E128" s="76"/>
      <c r="F128" s="75"/>
    </row>
    <row r="129" spans="1:6" hidden="1" x14ac:dyDescent="0.35">
      <c r="A129" s="90"/>
      <c r="B129" s="57"/>
      <c r="C129"/>
      <c r="D129"/>
      <c r="E129" s="76"/>
      <c r="F129" s="75"/>
    </row>
    <row r="130" spans="1:6" hidden="1" x14ac:dyDescent="0.35">
      <c r="A130" s="90"/>
      <c r="B130" s="57"/>
      <c r="C130"/>
      <c r="D130"/>
      <c r="E130" s="76"/>
      <c r="F130" s="75"/>
    </row>
    <row r="131" spans="1:6" hidden="1" x14ac:dyDescent="0.35">
      <c r="A131" s="90"/>
      <c r="B131" s="57"/>
      <c r="C131"/>
      <c r="D131"/>
      <c r="E131" s="76"/>
      <c r="F131" s="75"/>
    </row>
    <row r="132" spans="1:6" hidden="1" x14ac:dyDescent="0.35">
      <c r="A132" s="90"/>
      <c r="B132" s="57"/>
      <c r="C132"/>
      <c r="D132"/>
      <c r="E132" s="76"/>
      <c r="F132" s="75"/>
    </row>
    <row r="133" spans="1:6" hidden="1" x14ac:dyDescent="0.35">
      <c r="A133" s="90"/>
      <c r="B133" s="57"/>
      <c r="C133"/>
      <c r="D133"/>
      <c r="E133" s="76"/>
      <c r="F133" s="75"/>
    </row>
    <row r="134" spans="1:6" hidden="1" x14ac:dyDescent="0.35">
      <c r="A134" s="90"/>
      <c r="B134" s="57"/>
      <c r="C134"/>
      <c r="D134"/>
      <c r="E134" s="76"/>
      <c r="F134" s="75"/>
    </row>
    <row r="135" spans="1:6" hidden="1" x14ac:dyDescent="0.35">
      <c r="A135" s="90"/>
      <c r="B135" s="57"/>
      <c r="C135"/>
      <c r="D135"/>
      <c r="E135" s="76"/>
      <c r="F135" s="75"/>
    </row>
    <row r="136" spans="1:6" hidden="1" x14ac:dyDescent="0.35">
      <c r="A136" s="90"/>
      <c r="B136" s="57"/>
      <c r="C136"/>
      <c r="D136"/>
      <c r="E136" s="76"/>
      <c r="F136" s="75"/>
    </row>
    <row r="137" spans="1:6" hidden="1" x14ac:dyDescent="0.35">
      <c r="A137" s="90"/>
      <c r="B137" s="57"/>
      <c r="C137"/>
      <c r="D137"/>
      <c r="E137" s="76"/>
      <c r="F137" s="75"/>
    </row>
    <row r="138" spans="1:6" hidden="1" x14ac:dyDescent="0.35">
      <c r="A138" s="90"/>
      <c r="B138" s="57"/>
      <c r="C138"/>
      <c r="D138"/>
      <c r="E138" s="76"/>
      <c r="F138" s="75"/>
    </row>
    <row r="139" spans="1:6" hidden="1" x14ac:dyDescent="0.35">
      <c r="A139" s="90"/>
      <c r="B139" s="57"/>
      <c r="C139"/>
      <c r="D139"/>
      <c r="E139" s="76"/>
      <c r="F139" s="75"/>
    </row>
    <row r="140" spans="1:6" hidden="1" x14ac:dyDescent="0.35">
      <c r="A140" s="90"/>
      <c r="B140" s="57"/>
      <c r="C140"/>
      <c r="D140"/>
      <c r="E140" s="76"/>
      <c r="F140" s="75"/>
    </row>
    <row r="141" spans="1:6" hidden="1" x14ac:dyDescent="0.35">
      <c r="A141" s="90"/>
      <c r="B141" s="57"/>
      <c r="C141"/>
      <c r="D141"/>
      <c r="E141" s="76"/>
      <c r="F141" s="75"/>
    </row>
    <row r="142" spans="1:6" hidden="1" x14ac:dyDescent="0.35">
      <c r="A142" s="90"/>
      <c r="B142" s="57"/>
      <c r="C142"/>
      <c r="D142"/>
      <c r="E142" s="76"/>
      <c r="F142" s="75"/>
    </row>
    <row r="143" spans="1:6" hidden="1" x14ac:dyDescent="0.35">
      <c r="A143" s="90"/>
      <c r="B143" s="57"/>
      <c r="C143"/>
      <c r="D143"/>
      <c r="E143" s="76"/>
      <c r="F143" s="75"/>
    </row>
    <row r="144" spans="1:6" hidden="1" x14ac:dyDescent="0.35">
      <c r="A144" s="90"/>
      <c r="B144" s="57"/>
      <c r="C144"/>
      <c r="D144"/>
      <c r="E144" s="76"/>
      <c r="F144" s="75"/>
    </row>
    <row r="145" spans="1:6" hidden="1" x14ac:dyDescent="0.35">
      <c r="A145" s="90"/>
      <c r="B145" s="57"/>
      <c r="C145"/>
      <c r="D145"/>
      <c r="E145" s="76"/>
      <c r="F145" s="75"/>
    </row>
    <row r="146" spans="1:6" hidden="1" x14ac:dyDescent="0.35">
      <c r="A146" s="90"/>
      <c r="B146" s="57"/>
      <c r="C146"/>
      <c r="D146"/>
      <c r="E146" s="76"/>
      <c r="F146" s="75"/>
    </row>
    <row r="147" spans="1:6" hidden="1" x14ac:dyDescent="0.35">
      <c r="A147" s="90"/>
      <c r="B147" s="57"/>
      <c r="C147"/>
      <c r="D147"/>
      <c r="E147" s="76"/>
      <c r="F147" s="75"/>
    </row>
    <row r="148" spans="1:6" hidden="1" x14ac:dyDescent="0.35">
      <c r="A148" s="90"/>
      <c r="B148" s="57"/>
      <c r="C148"/>
      <c r="D148"/>
      <c r="E148" s="76"/>
      <c r="F148" s="75"/>
    </row>
    <row r="149" spans="1:6" hidden="1" x14ac:dyDescent="0.35">
      <c r="A149" s="90"/>
      <c r="B149" s="57"/>
      <c r="C149"/>
      <c r="D149"/>
      <c r="E149" s="76"/>
      <c r="F149" s="75"/>
    </row>
    <row r="150" spans="1:6" hidden="1" x14ac:dyDescent="0.35">
      <c r="A150" s="90"/>
      <c r="B150" s="57"/>
      <c r="C150"/>
      <c r="D150"/>
      <c r="E150" s="76"/>
      <c r="F150" s="75"/>
    </row>
    <row r="151" spans="1:6" hidden="1" x14ac:dyDescent="0.35">
      <c r="A151" s="90"/>
      <c r="B151" s="57"/>
      <c r="C151"/>
      <c r="D151"/>
      <c r="E151" s="76"/>
      <c r="F151" s="75"/>
    </row>
    <row r="152" spans="1:6" hidden="1" x14ac:dyDescent="0.35">
      <c r="A152" s="90"/>
      <c r="B152" s="57"/>
      <c r="C152"/>
      <c r="D152"/>
      <c r="E152" s="76"/>
      <c r="F152" s="75"/>
    </row>
    <row r="153" spans="1:6" hidden="1" x14ac:dyDescent="0.35">
      <c r="A153" s="90"/>
      <c r="B153" s="57"/>
      <c r="C153"/>
      <c r="D153"/>
      <c r="E153" s="76"/>
      <c r="F153" s="75"/>
    </row>
    <row r="154" spans="1:6" hidden="1" x14ac:dyDescent="0.35">
      <c r="A154" s="90"/>
      <c r="B154" s="57"/>
      <c r="C154"/>
      <c r="D154"/>
      <c r="E154" s="76"/>
      <c r="F154" s="75"/>
    </row>
    <row r="155" spans="1:6" hidden="1" x14ac:dyDescent="0.35">
      <c r="A155" s="90"/>
      <c r="B155" s="57"/>
      <c r="C155"/>
      <c r="D155"/>
      <c r="E155" s="76"/>
      <c r="F155" s="75"/>
    </row>
    <row r="156" spans="1:6" hidden="1" x14ac:dyDescent="0.35">
      <c r="A156" s="90"/>
      <c r="B156" s="57"/>
      <c r="C156"/>
      <c r="D156"/>
      <c r="E156" s="76"/>
      <c r="F156" s="75"/>
    </row>
    <row r="157" spans="1:6" hidden="1" x14ac:dyDescent="0.35">
      <c r="A157" s="90"/>
      <c r="B157" s="57"/>
      <c r="C157"/>
      <c r="D157"/>
      <c r="E157" s="76"/>
      <c r="F157" s="75"/>
    </row>
    <row r="158" spans="1:6" hidden="1" x14ac:dyDescent="0.35">
      <c r="A158" s="90"/>
      <c r="B158" s="57"/>
      <c r="C158"/>
      <c r="D158"/>
      <c r="E158" s="76"/>
      <c r="F158" s="75"/>
    </row>
    <row r="159" spans="1:6" hidden="1" x14ac:dyDescent="0.35">
      <c r="A159" s="90"/>
      <c r="B159" s="57"/>
      <c r="C159"/>
      <c r="D159"/>
      <c r="E159" s="76"/>
      <c r="F159" s="75"/>
    </row>
    <row r="160" spans="1:6" hidden="1" x14ac:dyDescent="0.35">
      <c r="A160" s="90"/>
      <c r="B160" s="57"/>
      <c r="C160"/>
      <c r="D160"/>
      <c r="E160" s="76"/>
      <c r="F160" s="75"/>
    </row>
    <row r="161" spans="1:6" hidden="1" x14ac:dyDescent="0.35">
      <c r="A161" s="90"/>
      <c r="B161" s="57"/>
      <c r="C161"/>
      <c r="D161"/>
      <c r="E161" s="76"/>
      <c r="F161" s="75"/>
    </row>
    <row r="162" spans="1:6" hidden="1" x14ac:dyDescent="0.35">
      <c r="A162" s="90"/>
      <c r="B162" s="57"/>
      <c r="C162"/>
      <c r="D162"/>
      <c r="E162" s="76"/>
      <c r="F162" s="75"/>
    </row>
    <row r="163" spans="1:6" hidden="1" x14ac:dyDescent="0.35">
      <c r="A163" s="90"/>
      <c r="B163" s="57"/>
      <c r="C163"/>
      <c r="D163"/>
      <c r="E163" s="76"/>
      <c r="F163" s="75"/>
    </row>
    <row r="164" spans="1:6" hidden="1" x14ac:dyDescent="0.35">
      <c r="A164" s="90"/>
      <c r="B164" s="57"/>
      <c r="C164"/>
      <c r="D164"/>
      <c r="E164" s="76"/>
      <c r="F164" s="75"/>
    </row>
    <row r="165" spans="1:6" hidden="1" x14ac:dyDescent="0.35">
      <c r="A165" s="90"/>
      <c r="B165" s="57"/>
      <c r="C165"/>
      <c r="D165"/>
      <c r="E165" s="76"/>
      <c r="F165" s="75"/>
    </row>
    <row r="166" spans="1:6" hidden="1" x14ac:dyDescent="0.35">
      <c r="A166" s="90"/>
      <c r="B166" s="57"/>
      <c r="C166"/>
      <c r="D166"/>
      <c r="E166" s="76"/>
      <c r="F166" s="75"/>
    </row>
    <row r="167" spans="1:6" hidden="1" x14ac:dyDescent="0.35">
      <c r="A167" s="90"/>
      <c r="B167" s="57"/>
      <c r="C167"/>
      <c r="D167"/>
      <c r="E167" s="76"/>
      <c r="F167" s="75"/>
    </row>
    <row r="168" spans="1:6" hidden="1" x14ac:dyDescent="0.35">
      <c r="A168" s="90"/>
      <c r="B168" s="57"/>
      <c r="C168"/>
      <c r="D168"/>
      <c r="E168" s="76"/>
      <c r="F168" s="75"/>
    </row>
    <row r="169" spans="1:6" hidden="1" x14ac:dyDescent="0.35">
      <c r="A169" s="90"/>
      <c r="B169" s="57"/>
      <c r="C169"/>
      <c r="D169"/>
      <c r="E169" s="76"/>
      <c r="F169" s="75"/>
    </row>
    <row r="170" spans="1:6" hidden="1" x14ac:dyDescent="0.35">
      <c r="A170" s="90"/>
      <c r="B170" s="57"/>
      <c r="C170"/>
      <c r="D170"/>
      <c r="E170" s="76"/>
      <c r="F170" s="75"/>
    </row>
    <row r="171" spans="1:6" hidden="1" x14ac:dyDescent="0.35">
      <c r="A171" s="90"/>
      <c r="B171" s="57"/>
      <c r="C171"/>
      <c r="D171"/>
      <c r="E171" s="76"/>
      <c r="F171" s="75"/>
    </row>
    <row r="172" spans="1:6" hidden="1" x14ac:dyDescent="0.35">
      <c r="A172" s="90"/>
      <c r="B172" s="57"/>
      <c r="C172"/>
      <c r="D172"/>
      <c r="E172" s="76"/>
      <c r="F172" s="75"/>
    </row>
    <row r="173" spans="1:6" hidden="1" x14ac:dyDescent="0.35">
      <c r="A173" s="90"/>
      <c r="B173" s="57"/>
      <c r="C173"/>
      <c r="D173"/>
      <c r="E173" s="76"/>
      <c r="F173" s="75"/>
    </row>
    <row r="174" spans="1:6" hidden="1" x14ac:dyDescent="0.35">
      <c r="A174" s="90"/>
      <c r="B174" s="57"/>
      <c r="C174"/>
      <c r="D174"/>
      <c r="E174" s="76"/>
      <c r="F174" s="75"/>
    </row>
    <row r="175" spans="1:6" hidden="1" x14ac:dyDescent="0.35">
      <c r="A175" s="90"/>
      <c r="B175" s="57"/>
      <c r="C175"/>
      <c r="D175"/>
      <c r="E175" s="76"/>
      <c r="F175" s="75"/>
    </row>
    <row r="176" spans="1:6" hidden="1" x14ac:dyDescent="0.35">
      <c r="A176" s="90"/>
      <c r="B176" s="57"/>
      <c r="C176"/>
      <c r="D176"/>
      <c r="E176" s="76"/>
      <c r="F176" s="75"/>
    </row>
    <row r="177" spans="1:6" hidden="1" x14ac:dyDescent="0.35">
      <c r="A177" s="90"/>
      <c r="B177" s="57"/>
      <c r="C177"/>
      <c r="D177"/>
      <c r="E177" s="76"/>
      <c r="F177" s="75"/>
    </row>
    <row r="178" spans="1:6" hidden="1" x14ac:dyDescent="0.35">
      <c r="A178" s="90"/>
      <c r="B178" s="57"/>
      <c r="C178"/>
      <c r="D178"/>
      <c r="E178" s="76"/>
      <c r="F178" s="75"/>
    </row>
    <row r="179" spans="1:6" hidden="1" x14ac:dyDescent="0.35">
      <c r="A179" s="90"/>
      <c r="B179" s="57"/>
      <c r="C179"/>
      <c r="D179"/>
      <c r="E179" s="76"/>
      <c r="F179" s="75"/>
    </row>
    <row r="180" spans="1:6" hidden="1" x14ac:dyDescent="0.35">
      <c r="A180" s="90"/>
      <c r="B180" s="57"/>
      <c r="C180"/>
      <c r="D180"/>
      <c r="E180" s="76"/>
      <c r="F180" s="75"/>
    </row>
    <row r="181" spans="1:6" hidden="1" x14ac:dyDescent="0.35">
      <c r="A181" s="90"/>
      <c r="B181" s="57"/>
      <c r="C181"/>
      <c r="D181"/>
      <c r="E181" s="76"/>
      <c r="F181" s="75"/>
    </row>
    <row r="182" spans="1:6" hidden="1" x14ac:dyDescent="0.35">
      <c r="A182" s="90"/>
      <c r="B182" s="57"/>
      <c r="C182"/>
      <c r="D182"/>
      <c r="E182" s="76"/>
      <c r="F182" s="75"/>
    </row>
    <row r="183" spans="1:6" hidden="1" x14ac:dyDescent="0.35">
      <c r="A183" s="90"/>
      <c r="B183" s="57"/>
      <c r="C183"/>
      <c r="D183"/>
      <c r="E183" s="76"/>
      <c r="F183" s="75"/>
    </row>
    <row r="184" spans="1:6" hidden="1" x14ac:dyDescent="0.35">
      <c r="A184" s="90"/>
      <c r="B184" s="57"/>
      <c r="C184"/>
      <c r="D184"/>
      <c r="E184" s="76"/>
      <c r="F184" s="75"/>
    </row>
    <row r="185" spans="1:6" hidden="1" x14ac:dyDescent="0.35">
      <c r="A185" s="90"/>
      <c r="B185" s="57"/>
      <c r="C185"/>
      <c r="D185"/>
      <c r="E185" s="76"/>
      <c r="F185" s="75"/>
    </row>
    <row r="186" spans="1:6" hidden="1" x14ac:dyDescent="0.35">
      <c r="A186" s="90"/>
      <c r="B186" s="57"/>
      <c r="C186"/>
      <c r="D186"/>
      <c r="E186" s="76"/>
      <c r="F186" s="75"/>
    </row>
    <row r="187" spans="1:6" hidden="1" x14ac:dyDescent="0.35">
      <c r="A187" s="90"/>
      <c r="B187" s="57"/>
      <c r="C187"/>
      <c r="D187"/>
      <c r="E187" s="76"/>
      <c r="F187" s="75"/>
    </row>
    <row r="188" spans="1:6" hidden="1" x14ac:dyDescent="0.35">
      <c r="A188" s="90"/>
      <c r="B188" s="57"/>
      <c r="C188"/>
      <c r="D188"/>
      <c r="E188" s="76"/>
      <c r="F188" s="75"/>
    </row>
    <row r="189" spans="1:6" hidden="1" x14ac:dyDescent="0.35">
      <c r="A189" s="90"/>
      <c r="B189" s="57"/>
      <c r="C189"/>
      <c r="D189"/>
      <c r="E189" s="76"/>
      <c r="F189" s="75"/>
    </row>
    <row r="190" spans="1:6" hidden="1" x14ac:dyDescent="0.35">
      <c r="A190" s="90"/>
      <c r="B190" s="57"/>
      <c r="C190"/>
      <c r="D190"/>
      <c r="E190" s="76"/>
      <c r="F190" s="75"/>
    </row>
    <row r="191" spans="1:6" hidden="1" x14ac:dyDescent="0.35">
      <c r="A191" s="90"/>
      <c r="B191" s="57"/>
      <c r="C191"/>
      <c r="D191"/>
      <c r="E191" s="76"/>
      <c r="F191" s="75"/>
    </row>
    <row r="192" spans="1:6" hidden="1" x14ac:dyDescent="0.35">
      <c r="A192" s="90"/>
      <c r="B192" s="57"/>
      <c r="C192"/>
      <c r="D192"/>
      <c r="E192" s="76"/>
      <c r="F192" s="75"/>
    </row>
    <row r="193" spans="1:6" hidden="1" x14ac:dyDescent="0.35">
      <c r="A193" s="90"/>
      <c r="B193" s="57"/>
      <c r="C193"/>
      <c r="D193"/>
      <c r="E193" s="76"/>
      <c r="F193" s="75"/>
    </row>
    <row r="194" spans="1:6" hidden="1" x14ac:dyDescent="0.35">
      <c r="A194" s="90"/>
      <c r="B194" s="57"/>
      <c r="C194"/>
      <c r="D194"/>
      <c r="E194" s="76"/>
      <c r="F194" s="75"/>
    </row>
    <row r="195" spans="1:6" hidden="1" x14ac:dyDescent="0.35">
      <c r="A195" s="90"/>
      <c r="B195" s="57"/>
      <c r="C195"/>
      <c r="D195"/>
      <c r="E195" s="76"/>
      <c r="F195" s="75"/>
    </row>
    <row r="196" spans="1:6" hidden="1" x14ac:dyDescent="0.35">
      <c r="A196" s="90"/>
      <c r="B196" s="57"/>
      <c r="C196"/>
      <c r="D196"/>
      <c r="E196" s="76"/>
      <c r="F196" s="75"/>
    </row>
    <row r="197" spans="1:6" hidden="1" x14ac:dyDescent="0.35">
      <c r="A197" s="90"/>
      <c r="B197" s="57"/>
      <c r="C197"/>
      <c r="D197"/>
      <c r="E197" s="76"/>
      <c r="F197" s="75"/>
    </row>
    <row r="198" spans="1:6" hidden="1" x14ac:dyDescent="0.35">
      <c r="A198" s="90"/>
      <c r="B198" s="57"/>
      <c r="C198"/>
      <c r="D198"/>
      <c r="E198" s="76"/>
      <c r="F198" s="75"/>
    </row>
    <row r="199" spans="1:6" hidden="1" x14ac:dyDescent="0.35">
      <c r="A199" s="90"/>
      <c r="B199" s="57"/>
      <c r="C199"/>
      <c r="D199"/>
      <c r="E199" s="76"/>
      <c r="F199" s="75"/>
    </row>
    <row r="200" spans="1:6" hidden="1" x14ac:dyDescent="0.35">
      <c r="A200" s="90"/>
      <c r="B200" s="57"/>
      <c r="C200"/>
      <c r="D200"/>
      <c r="E200" s="76"/>
      <c r="F200" s="75"/>
    </row>
    <row r="201" spans="1:6" hidden="1" x14ac:dyDescent="0.35">
      <c r="A201" s="90"/>
      <c r="B201" s="57"/>
      <c r="C201"/>
      <c r="D201"/>
      <c r="E201" s="76"/>
      <c r="F201" s="75"/>
    </row>
    <row r="202" spans="1:6" hidden="1" x14ac:dyDescent="0.35">
      <c r="A202" s="90"/>
      <c r="B202" s="57"/>
      <c r="C202"/>
      <c r="D202"/>
      <c r="E202" s="76"/>
      <c r="F202" s="75"/>
    </row>
    <row r="203" spans="1:6" hidden="1" x14ac:dyDescent="0.35">
      <c r="A203" s="90"/>
      <c r="B203" s="57"/>
      <c r="C203"/>
      <c r="D203"/>
      <c r="E203" s="76"/>
      <c r="F203" s="75"/>
    </row>
    <row r="204" spans="1:6" hidden="1" x14ac:dyDescent="0.35">
      <c r="A204" s="90"/>
      <c r="B204" s="57"/>
      <c r="C204"/>
      <c r="D204"/>
      <c r="E204" s="76"/>
      <c r="F204" s="75"/>
    </row>
    <row r="205" spans="1:6" hidden="1" x14ac:dyDescent="0.35">
      <c r="A205" s="90"/>
      <c r="B205" s="57"/>
      <c r="C205"/>
      <c r="D205"/>
      <c r="E205" s="76"/>
      <c r="F205" s="75"/>
    </row>
    <row r="206" spans="1:6" hidden="1" x14ac:dyDescent="0.35">
      <c r="A206" s="90"/>
      <c r="B206" s="57"/>
      <c r="C206"/>
      <c r="D206"/>
      <c r="E206" s="76"/>
      <c r="F206" s="75"/>
    </row>
    <row r="207" spans="1:6" hidden="1" x14ac:dyDescent="0.35">
      <c r="A207" s="90"/>
      <c r="B207" s="57"/>
      <c r="C207"/>
      <c r="D207"/>
      <c r="E207" s="76"/>
      <c r="F207" s="75"/>
    </row>
    <row r="208" spans="1:6" hidden="1" x14ac:dyDescent="0.35">
      <c r="A208" s="90"/>
      <c r="B208" s="57"/>
      <c r="C208"/>
      <c r="D208"/>
      <c r="E208" s="76"/>
      <c r="F208" s="75"/>
    </row>
    <row r="209" spans="1:6" hidden="1" x14ac:dyDescent="0.35">
      <c r="A209" s="90"/>
      <c r="B209" s="57"/>
      <c r="C209"/>
      <c r="D209"/>
      <c r="E209" s="76"/>
      <c r="F209" s="75"/>
    </row>
    <row r="210" spans="1:6" hidden="1" x14ac:dyDescent="0.35">
      <c r="A210" s="90"/>
      <c r="B210" s="57"/>
      <c r="C210"/>
      <c r="D210"/>
      <c r="E210" s="76"/>
      <c r="F210" s="75"/>
    </row>
    <row r="211" spans="1:6" hidden="1" x14ac:dyDescent="0.35">
      <c r="A211" s="90"/>
      <c r="B211" s="57"/>
      <c r="C211"/>
      <c r="D211"/>
      <c r="E211" s="76"/>
      <c r="F211" s="75"/>
    </row>
    <row r="212" spans="1:6" hidden="1" x14ac:dyDescent="0.35">
      <c r="A212" s="90"/>
      <c r="B212" s="57"/>
      <c r="C212"/>
      <c r="D212"/>
      <c r="E212" s="76"/>
      <c r="F212" s="75"/>
    </row>
    <row r="213" spans="1:6" hidden="1" x14ac:dyDescent="0.35">
      <c r="A213" s="90"/>
      <c r="B213" s="57"/>
      <c r="C213"/>
      <c r="D213"/>
      <c r="E213" s="76"/>
      <c r="F213" s="75"/>
    </row>
    <row r="214" spans="1:6" hidden="1" x14ac:dyDescent="0.35">
      <c r="A214" s="90"/>
      <c r="B214" s="57"/>
      <c r="C214"/>
      <c r="D214"/>
      <c r="E214" s="76"/>
      <c r="F214" s="75"/>
    </row>
    <row r="215" spans="1:6" hidden="1" x14ac:dyDescent="0.35">
      <c r="A215" s="90"/>
      <c r="B215" s="57"/>
      <c r="C215"/>
      <c r="D215"/>
      <c r="E215" s="76"/>
      <c r="F215" s="75"/>
    </row>
    <row r="216" spans="1:6" hidden="1" x14ac:dyDescent="0.35">
      <c r="A216" s="90"/>
      <c r="B216" s="57"/>
      <c r="C216"/>
      <c r="D216"/>
      <c r="E216" s="76"/>
      <c r="F216" s="75"/>
    </row>
    <row r="217" spans="1:6" hidden="1" x14ac:dyDescent="0.35">
      <c r="A217" s="90"/>
      <c r="B217" s="57"/>
      <c r="C217"/>
      <c r="D217"/>
      <c r="E217" s="76"/>
      <c r="F217" s="75"/>
    </row>
    <row r="218" spans="1:6" hidden="1" x14ac:dyDescent="0.35">
      <c r="A218" s="90"/>
      <c r="B218" s="57"/>
      <c r="C218"/>
      <c r="D218"/>
      <c r="E218" s="76"/>
      <c r="F218" s="75"/>
    </row>
    <row r="219" spans="1:6" hidden="1" x14ac:dyDescent="0.35">
      <c r="A219" s="90"/>
      <c r="B219" s="57"/>
      <c r="C219"/>
      <c r="D219"/>
      <c r="E219" s="76"/>
      <c r="F219" s="75"/>
    </row>
    <row r="220" spans="1:6" hidden="1" x14ac:dyDescent="0.35">
      <c r="A220" s="90"/>
      <c r="B220" s="57"/>
      <c r="C220"/>
      <c r="D220"/>
      <c r="E220" s="76"/>
      <c r="F220" s="75"/>
    </row>
    <row r="221" spans="1:6" hidden="1" x14ac:dyDescent="0.35">
      <c r="A221" s="90"/>
      <c r="B221" s="57"/>
      <c r="C221"/>
      <c r="D221"/>
      <c r="E221" s="76"/>
      <c r="F221" s="75"/>
    </row>
    <row r="222" spans="1:6" hidden="1" x14ac:dyDescent="0.35">
      <c r="A222" s="90"/>
      <c r="B222" s="57"/>
      <c r="C222"/>
      <c r="D222"/>
      <c r="E222" s="76"/>
      <c r="F222" s="75"/>
    </row>
    <row r="223" spans="1:6" hidden="1" x14ac:dyDescent="0.35">
      <c r="A223" s="90"/>
      <c r="B223" s="57"/>
      <c r="C223"/>
      <c r="D223"/>
      <c r="E223" s="76"/>
      <c r="F223" s="75"/>
    </row>
    <row r="224" spans="1:6" hidden="1" x14ac:dyDescent="0.35">
      <c r="A224" s="90"/>
      <c r="B224" s="57"/>
      <c r="C224"/>
      <c r="D224"/>
      <c r="E224" s="76"/>
      <c r="F224" s="75"/>
    </row>
    <row r="225" spans="1:6" hidden="1" x14ac:dyDescent="0.35">
      <c r="A225" s="90"/>
      <c r="B225" s="57"/>
      <c r="C225"/>
      <c r="D225"/>
      <c r="E225" s="76"/>
      <c r="F225" s="75"/>
    </row>
    <row r="226" spans="1:6" hidden="1" x14ac:dyDescent="0.35">
      <c r="A226" s="90"/>
      <c r="B226" s="57"/>
      <c r="C226"/>
      <c r="D226"/>
      <c r="E226" s="76"/>
      <c r="F226" s="75"/>
    </row>
    <row r="227" spans="1:6" hidden="1" x14ac:dyDescent="0.35">
      <c r="A227" s="90"/>
      <c r="B227" s="57"/>
      <c r="C227"/>
      <c r="D227"/>
      <c r="E227" s="76"/>
      <c r="F227" s="75"/>
    </row>
    <row r="228" spans="1:6" hidden="1" x14ac:dyDescent="0.35">
      <c r="A228" s="90"/>
      <c r="B228" s="57"/>
      <c r="C228"/>
      <c r="D228"/>
      <c r="E228" s="76"/>
      <c r="F228" s="75"/>
    </row>
    <row r="229" spans="1:6" hidden="1" x14ac:dyDescent="0.35">
      <c r="A229" s="90"/>
      <c r="B229" s="57"/>
      <c r="C229"/>
      <c r="D229"/>
      <c r="E229" s="76"/>
      <c r="F229" s="75"/>
    </row>
    <row r="230" spans="1:6" hidden="1" x14ac:dyDescent="0.35">
      <c r="A230" s="90"/>
      <c r="B230" s="57"/>
      <c r="C230"/>
      <c r="D230"/>
      <c r="E230" s="76"/>
      <c r="F230" s="75"/>
    </row>
    <row r="231" spans="1:6" hidden="1" x14ac:dyDescent="0.35">
      <c r="A231" s="90"/>
      <c r="B231" s="57"/>
      <c r="C231"/>
      <c r="D231"/>
      <c r="E231" s="76"/>
      <c r="F231" s="75"/>
    </row>
    <row r="232" spans="1:6" hidden="1" x14ac:dyDescent="0.35">
      <c r="A232" s="90"/>
      <c r="B232" s="57"/>
      <c r="C232"/>
      <c r="D232"/>
      <c r="E232" s="76"/>
      <c r="F232" s="75"/>
    </row>
    <row r="233" spans="1:6" hidden="1" x14ac:dyDescent="0.35">
      <c r="A233" s="90"/>
      <c r="B233" s="57"/>
      <c r="C233"/>
      <c r="D233"/>
      <c r="E233" s="76"/>
      <c r="F233" s="75"/>
    </row>
    <row r="234" spans="1:6" hidden="1" x14ac:dyDescent="0.35">
      <c r="A234" s="90"/>
      <c r="B234" s="57"/>
      <c r="C234"/>
      <c r="D234"/>
      <c r="E234" s="76"/>
      <c r="F234" s="75"/>
    </row>
    <row r="235" spans="1:6" hidden="1" x14ac:dyDescent="0.35">
      <c r="A235" s="90"/>
      <c r="B235" s="57"/>
      <c r="C235"/>
      <c r="D235"/>
      <c r="E235" s="76"/>
      <c r="F235" s="75"/>
    </row>
    <row r="236" spans="1:6" hidden="1" x14ac:dyDescent="0.35">
      <c r="A236" s="90"/>
      <c r="B236" s="57"/>
      <c r="C236"/>
      <c r="D236"/>
      <c r="E236" s="76"/>
      <c r="F236" s="75"/>
    </row>
    <row r="237" spans="1:6" hidden="1" x14ac:dyDescent="0.35">
      <c r="A237" s="90"/>
      <c r="B237" s="57"/>
      <c r="C237"/>
      <c r="D237"/>
      <c r="E237" s="76"/>
      <c r="F237" s="75"/>
    </row>
    <row r="238" spans="1:6" hidden="1" x14ac:dyDescent="0.35">
      <c r="A238" s="90"/>
      <c r="B238" s="57"/>
      <c r="C238"/>
      <c r="D238"/>
      <c r="E238" s="76"/>
      <c r="F238" s="75"/>
    </row>
    <row r="239" spans="1:6" hidden="1" x14ac:dyDescent="0.35">
      <c r="A239" s="90"/>
      <c r="B239" s="57"/>
      <c r="C239"/>
      <c r="D239"/>
      <c r="E239" s="76"/>
      <c r="F239" s="75"/>
    </row>
    <row r="240" spans="1:6" hidden="1" x14ac:dyDescent="0.35">
      <c r="A240" s="90"/>
      <c r="B240" s="57"/>
      <c r="C240"/>
      <c r="D240"/>
      <c r="E240" s="76"/>
      <c r="F240" s="75"/>
    </row>
    <row r="241" spans="1:6" hidden="1" x14ac:dyDescent="0.35">
      <c r="A241" s="90"/>
      <c r="B241" s="57"/>
      <c r="C241"/>
      <c r="D241"/>
      <c r="E241" s="76"/>
      <c r="F241" s="75"/>
    </row>
    <row r="242" spans="1:6" hidden="1" x14ac:dyDescent="0.35">
      <c r="A242" s="90"/>
      <c r="B242" s="57"/>
      <c r="C242"/>
      <c r="D242"/>
      <c r="E242" s="76"/>
      <c r="F242" s="75"/>
    </row>
    <row r="243" spans="1:6" hidden="1" x14ac:dyDescent="0.35">
      <c r="A243" s="90"/>
      <c r="B243" s="57"/>
      <c r="C243"/>
      <c r="D243"/>
      <c r="E243" s="76"/>
      <c r="F243" s="75"/>
    </row>
    <row r="244" spans="1:6" hidden="1" x14ac:dyDescent="0.35">
      <c r="A244" s="90"/>
      <c r="B244" s="57"/>
      <c r="C244"/>
      <c r="D244"/>
      <c r="E244" s="76"/>
      <c r="F244" s="75"/>
    </row>
    <row r="245" spans="1:6" hidden="1" x14ac:dyDescent="0.35">
      <c r="A245" s="90"/>
      <c r="B245" s="57"/>
      <c r="C245"/>
      <c r="D245"/>
      <c r="E245" s="76"/>
      <c r="F245" s="75"/>
    </row>
    <row r="246" spans="1:6" hidden="1" x14ac:dyDescent="0.35">
      <c r="A246" s="90"/>
      <c r="B246" s="57"/>
      <c r="C246"/>
      <c r="D246"/>
      <c r="E246" s="76"/>
      <c r="F246" s="75"/>
    </row>
    <row r="247" spans="1:6" hidden="1" x14ac:dyDescent="0.35">
      <c r="A247" s="90"/>
      <c r="B247" s="57"/>
      <c r="C247"/>
      <c r="D247"/>
      <c r="E247" s="76"/>
      <c r="F247" s="75"/>
    </row>
    <row r="248" spans="1:6" hidden="1" x14ac:dyDescent="0.35">
      <c r="A248" s="90"/>
      <c r="B248" s="57"/>
      <c r="C248"/>
      <c r="D248"/>
      <c r="E248" s="76"/>
      <c r="F248" s="75"/>
    </row>
    <row r="249" spans="1:6" hidden="1" x14ac:dyDescent="0.35">
      <c r="A249" s="90"/>
      <c r="B249" s="57"/>
      <c r="C249"/>
      <c r="D249"/>
      <c r="E249" s="76"/>
      <c r="F249" s="75"/>
    </row>
    <row r="250" spans="1:6" hidden="1" x14ac:dyDescent="0.35">
      <c r="A250" s="90"/>
      <c r="B250" s="57"/>
      <c r="C250"/>
      <c r="D250"/>
      <c r="E250" s="76"/>
      <c r="F250" s="75"/>
    </row>
    <row r="251" spans="1:6" hidden="1" x14ac:dyDescent="0.35">
      <c r="A251" s="90"/>
      <c r="B251" s="57"/>
      <c r="C251"/>
      <c r="D251"/>
      <c r="E251" s="76"/>
      <c r="F251" s="75"/>
    </row>
    <row r="252" spans="1:6" hidden="1" x14ac:dyDescent="0.35">
      <c r="A252" s="90"/>
      <c r="B252" s="57"/>
      <c r="C252"/>
      <c r="D252"/>
      <c r="E252" s="76"/>
      <c r="F252" s="75"/>
    </row>
    <row r="253" spans="1:6" hidden="1" x14ac:dyDescent="0.35">
      <c r="A253" s="90"/>
      <c r="B253" s="57"/>
      <c r="C253"/>
      <c r="D253"/>
      <c r="E253" s="76"/>
      <c r="F253" s="75"/>
    </row>
    <row r="254" spans="1:6" hidden="1" x14ac:dyDescent="0.35">
      <c r="A254" s="90"/>
      <c r="B254" s="57"/>
      <c r="C254"/>
      <c r="D254"/>
      <c r="E254" s="76"/>
      <c r="F254" s="75"/>
    </row>
    <row r="255" spans="1:6" hidden="1" x14ac:dyDescent="0.35">
      <c r="A255" s="90"/>
      <c r="B255" s="57"/>
      <c r="C255"/>
      <c r="D255"/>
      <c r="E255" s="76"/>
      <c r="F255" s="75"/>
    </row>
    <row r="256" spans="1:6" hidden="1" x14ac:dyDescent="0.35">
      <c r="A256" s="90"/>
      <c r="B256" s="57"/>
      <c r="C256"/>
      <c r="D256"/>
      <c r="E256" s="76"/>
      <c r="F256" s="75"/>
    </row>
    <row r="257" spans="1:6" hidden="1" x14ac:dyDescent="0.35">
      <c r="A257" s="90"/>
      <c r="B257" s="57"/>
      <c r="C257"/>
      <c r="D257"/>
      <c r="E257" s="76"/>
      <c r="F257" s="75"/>
    </row>
    <row r="258" spans="1:6" hidden="1" x14ac:dyDescent="0.35">
      <c r="A258" s="90"/>
      <c r="B258" s="57"/>
      <c r="C258"/>
      <c r="D258"/>
      <c r="E258" s="76"/>
      <c r="F258" s="75"/>
    </row>
    <row r="259" spans="1:6" hidden="1" x14ac:dyDescent="0.35">
      <c r="A259" s="90"/>
      <c r="B259" s="57"/>
      <c r="C259"/>
      <c r="D259"/>
      <c r="E259" s="76"/>
      <c r="F259" s="75"/>
    </row>
    <row r="260" spans="1:6" hidden="1" x14ac:dyDescent="0.35">
      <c r="A260" s="90"/>
      <c r="B260" s="57"/>
      <c r="C260"/>
      <c r="D260"/>
      <c r="E260" s="76"/>
      <c r="F260" s="75"/>
    </row>
    <row r="261" spans="1:6" hidden="1" x14ac:dyDescent="0.35">
      <c r="A261" s="90"/>
      <c r="B261" s="57"/>
      <c r="C261"/>
      <c r="D261"/>
      <c r="E261" s="76"/>
      <c r="F261" s="75"/>
    </row>
    <row r="262" spans="1:6" hidden="1" x14ac:dyDescent="0.35">
      <c r="A262" s="90"/>
      <c r="B262" s="57"/>
      <c r="C262"/>
      <c r="D262"/>
      <c r="E262" s="76"/>
      <c r="F262" s="75"/>
    </row>
    <row r="263" spans="1:6" hidden="1" x14ac:dyDescent="0.35">
      <c r="A263" s="90"/>
      <c r="B263" s="57"/>
      <c r="C263"/>
      <c r="D263"/>
      <c r="E263" s="76"/>
      <c r="F263" s="75"/>
    </row>
    <row r="264" spans="1:6" hidden="1" x14ac:dyDescent="0.35">
      <c r="A264" s="90"/>
      <c r="B264" s="57"/>
      <c r="C264"/>
      <c r="D264"/>
      <c r="E264" s="76"/>
      <c r="F264" s="75"/>
    </row>
    <row r="265" spans="1:6" hidden="1" x14ac:dyDescent="0.35">
      <c r="A265" s="90"/>
      <c r="B265" s="57"/>
      <c r="C265"/>
      <c r="D265"/>
      <c r="E265" s="76"/>
      <c r="F265" s="75"/>
    </row>
    <row r="266" spans="1:6" hidden="1" x14ac:dyDescent="0.35">
      <c r="A266" s="90"/>
      <c r="B266" s="57"/>
      <c r="C266"/>
      <c r="D266"/>
      <c r="E266" s="76"/>
      <c r="F266" s="75"/>
    </row>
    <row r="267" spans="1:6" hidden="1" x14ac:dyDescent="0.35">
      <c r="A267" s="90"/>
      <c r="B267" s="57"/>
      <c r="C267"/>
      <c r="D267"/>
      <c r="E267" s="76"/>
      <c r="F267" s="75"/>
    </row>
    <row r="268" spans="1:6" hidden="1" x14ac:dyDescent="0.35">
      <c r="A268" s="90"/>
      <c r="B268" s="57"/>
      <c r="C268"/>
      <c r="D268"/>
      <c r="E268" s="76"/>
      <c r="F268" s="75"/>
    </row>
    <row r="269" spans="1:6" hidden="1" x14ac:dyDescent="0.35">
      <c r="A269" s="90"/>
      <c r="B269" s="57"/>
      <c r="C269"/>
      <c r="D269"/>
      <c r="E269" s="76"/>
      <c r="F269" s="75"/>
    </row>
    <row r="270" spans="1:6" hidden="1" x14ac:dyDescent="0.35">
      <c r="A270" s="90"/>
      <c r="B270" s="57"/>
      <c r="C270"/>
      <c r="D270"/>
      <c r="E270" s="76"/>
      <c r="F270" s="75"/>
    </row>
    <row r="271" spans="1:6" hidden="1" x14ac:dyDescent="0.35">
      <c r="A271" s="90"/>
      <c r="B271" s="57"/>
      <c r="C271"/>
      <c r="D271"/>
      <c r="E271" s="76"/>
      <c r="F271" s="75"/>
    </row>
    <row r="272" spans="1:6" hidden="1" x14ac:dyDescent="0.35">
      <c r="A272" s="90"/>
      <c r="B272" s="57"/>
      <c r="C272"/>
      <c r="D272"/>
      <c r="E272" s="76"/>
      <c r="F272" s="75"/>
    </row>
    <row r="273" spans="1:6" hidden="1" x14ac:dyDescent="0.35">
      <c r="A273" s="90"/>
      <c r="B273" s="57"/>
      <c r="C273"/>
      <c r="D273"/>
      <c r="E273" s="76"/>
      <c r="F273" s="75"/>
    </row>
    <row r="274" spans="1:6" hidden="1" x14ac:dyDescent="0.35">
      <c r="A274" s="90"/>
      <c r="B274" s="57"/>
      <c r="C274"/>
      <c r="D274"/>
      <c r="E274" s="76"/>
      <c r="F274" s="75"/>
    </row>
    <row r="275" spans="1:6" hidden="1" x14ac:dyDescent="0.35">
      <c r="A275" s="90"/>
      <c r="B275" s="57"/>
      <c r="C275"/>
      <c r="D275"/>
      <c r="E275" s="76"/>
      <c r="F275" s="75"/>
    </row>
    <row r="276" spans="1:6" hidden="1" x14ac:dyDescent="0.35">
      <c r="A276" s="90"/>
      <c r="B276" s="57"/>
      <c r="C276"/>
      <c r="D276"/>
      <c r="E276" s="76"/>
      <c r="F276" s="75"/>
    </row>
    <row r="277" spans="1:6" hidden="1" x14ac:dyDescent="0.35">
      <c r="A277" s="90"/>
      <c r="B277" s="57"/>
      <c r="C277"/>
      <c r="D277"/>
      <c r="E277" s="76"/>
      <c r="F277" s="75"/>
    </row>
    <row r="278" spans="1:6" hidden="1" x14ac:dyDescent="0.35">
      <c r="A278" s="90"/>
      <c r="B278" s="57"/>
      <c r="C278"/>
      <c r="D278"/>
      <c r="E278" s="76"/>
      <c r="F278" s="75"/>
    </row>
    <row r="279" spans="1:6" hidden="1" x14ac:dyDescent="0.35">
      <c r="A279" s="90"/>
      <c r="B279" s="57"/>
      <c r="C279"/>
      <c r="D279"/>
      <c r="E279" s="76"/>
      <c r="F279" s="75"/>
    </row>
    <row r="280" spans="1:6" hidden="1" x14ac:dyDescent="0.35">
      <c r="A280" s="90"/>
      <c r="B280" s="57"/>
      <c r="C280"/>
      <c r="D280"/>
      <c r="E280" s="76"/>
      <c r="F280" s="75"/>
    </row>
    <row r="281" spans="1:6" hidden="1" x14ac:dyDescent="0.35">
      <c r="A281" s="90"/>
      <c r="B281" s="57"/>
      <c r="C281"/>
      <c r="D281"/>
      <c r="E281" s="76"/>
      <c r="F281" s="75"/>
    </row>
    <row r="282" spans="1:6" hidden="1" x14ac:dyDescent="0.35">
      <c r="A282" s="90"/>
      <c r="B282" s="57"/>
      <c r="C282"/>
      <c r="D282"/>
      <c r="E282" s="76"/>
      <c r="F282" s="75"/>
    </row>
    <row r="283" spans="1:6" hidden="1" x14ac:dyDescent="0.35">
      <c r="A283" s="90"/>
      <c r="B283" s="57"/>
      <c r="C283"/>
      <c r="D283"/>
      <c r="E283" s="76"/>
      <c r="F283" s="75"/>
    </row>
    <row r="284" spans="1:6" hidden="1" x14ac:dyDescent="0.35">
      <c r="A284" s="90"/>
      <c r="B284" s="57"/>
      <c r="C284"/>
      <c r="D284"/>
      <c r="E284" s="76"/>
      <c r="F284" s="75"/>
    </row>
    <row r="285" spans="1:6" hidden="1" x14ac:dyDescent="0.35">
      <c r="A285" s="90"/>
      <c r="B285" s="57"/>
      <c r="C285"/>
      <c r="D285"/>
      <c r="E285" s="76"/>
      <c r="F285" s="75"/>
    </row>
    <row r="286" spans="1:6" hidden="1" x14ac:dyDescent="0.35">
      <c r="A286" s="90"/>
      <c r="B286" s="57"/>
      <c r="C286"/>
      <c r="D286"/>
      <c r="E286" s="76"/>
      <c r="F286" s="75"/>
    </row>
    <row r="287" spans="1:6" hidden="1" x14ac:dyDescent="0.35">
      <c r="A287" s="90"/>
      <c r="B287" s="57"/>
      <c r="C287"/>
      <c r="D287"/>
      <c r="E287" s="76"/>
      <c r="F287" s="75"/>
    </row>
    <row r="288" spans="1:6" hidden="1" x14ac:dyDescent="0.35">
      <c r="A288" s="90"/>
      <c r="B288" s="57"/>
      <c r="C288"/>
      <c r="D288"/>
      <c r="E288" s="76"/>
      <c r="F288" s="75"/>
    </row>
    <row r="289" spans="1:6" hidden="1" x14ac:dyDescent="0.35">
      <c r="A289" s="90"/>
      <c r="B289" s="57"/>
      <c r="C289"/>
      <c r="D289"/>
      <c r="E289" s="76"/>
      <c r="F289" s="75"/>
    </row>
    <row r="290" spans="1:6" hidden="1" x14ac:dyDescent="0.35">
      <c r="A290" s="90"/>
      <c r="B290" s="57"/>
      <c r="C290"/>
      <c r="D290"/>
      <c r="E290" s="76"/>
      <c r="F290" s="75"/>
    </row>
    <row r="291" spans="1:6" hidden="1" x14ac:dyDescent="0.35">
      <c r="A291" s="90"/>
      <c r="B291" s="57"/>
      <c r="C291"/>
      <c r="D291"/>
      <c r="E291" s="76"/>
      <c r="F291" s="75"/>
    </row>
    <row r="292" spans="1:6" hidden="1" x14ac:dyDescent="0.35">
      <c r="A292" s="90"/>
      <c r="B292" s="57"/>
      <c r="C292"/>
      <c r="D292"/>
      <c r="E292" s="76"/>
      <c r="F292" s="75"/>
    </row>
    <row r="293" spans="1:6" hidden="1" x14ac:dyDescent="0.35">
      <c r="A293" s="90"/>
      <c r="B293" s="57"/>
      <c r="C293"/>
      <c r="D293"/>
      <c r="E293" s="76"/>
      <c r="F293" s="75"/>
    </row>
    <row r="294" spans="1:6" hidden="1" x14ac:dyDescent="0.35">
      <c r="A294" s="90"/>
      <c r="B294" s="57"/>
      <c r="C294"/>
      <c r="D294"/>
      <c r="E294" s="76"/>
      <c r="F294" s="75"/>
    </row>
    <row r="295" spans="1:6" hidden="1" x14ac:dyDescent="0.35">
      <c r="A295" s="90"/>
      <c r="B295" s="57"/>
      <c r="C295"/>
      <c r="D295"/>
      <c r="E295" s="76"/>
      <c r="F295" s="75"/>
    </row>
    <row r="296" spans="1:6" hidden="1" x14ac:dyDescent="0.35">
      <c r="A296" s="90"/>
      <c r="B296" s="57"/>
      <c r="C296"/>
      <c r="D296"/>
      <c r="E296" s="76"/>
      <c r="F296" s="75"/>
    </row>
    <row r="297" spans="1:6" hidden="1" x14ac:dyDescent="0.35">
      <c r="A297" s="90"/>
      <c r="B297" s="57"/>
      <c r="C297"/>
      <c r="D297"/>
      <c r="E297" s="76"/>
      <c r="F297" s="75"/>
    </row>
    <row r="298" spans="1:6" hidden="1" x14ac:dyDescent="0.35">
      <c r="A298" s="90"/>
      <c r="B298" s="57"/>
      <c r="C298"/>
      <c r="D298"/>
      <c r="E298" s="76"/>
      <c r="F298" s="75"/>
    </row>
    <row r="299" spans="1:6" hidden="1" x14ac:dyDescent="0.35">
      <c r="A299" s="90"/>
      <c r="B299" s="57"/>
      <c r="C299"/>
      <c r="D299"/>
      <c r="E299" s="76"/>
      <c r="F299" s="75"/>
    </row>
    <row r="300" spans="1:6" hidden="1" x14ac:dyDescent="0.35">
      <c r="A300" s="90"/>
      <c r="B300" s="57"/>
      <c r="C300"/>
      <c r="D300"/>
      <c r="E300" s="76"/>
      <c r="F300" s="75"/>
    </row>
    <row r="301" spans="1:6" hidden="1" x14ac:dyDescent="0.35">
      <c r="A301" s="90"/>
      <c r="B301" s="57"/>
      <c r="C301"/>
      <c r="D301"/>
      <c r="E301" s="76"/>
      <c r="F301" s="75"/>
    </row>
    <row r="302" spans="1:6" hidden="1" x14ac:dyDescent="0.35">
      <c r="A302" s="90"/>
      <c r="B302" s="57"/>
      <c r="C302"/>
      <c r="D302"/>
      <c r="E302" s="76"/>
      <c r="F302" s="75"/>
    </row>
    <row r="303" spans="1:6" hidden="1" x14ac:dyDescent="0.35">
      <c r="A303" s="90"/>
      <c r="B303" s="57"/>
      <c r="C303"/>
      <c r="D303"/>
      <c r="E303" s="76"/>
      <c r="F303" s="75"/>
    </row>
    <row r="304" spans="1:6" hidden="1" x14ac:dyDescent="0.35">
      <c r="A304" s="90"/>
      <c r="B304" s="57"/>
      <c r="C304"/>
      <c r="D304"/>
      <c r="E304" s="76"/>
      <c r="F304" s="75"/>
    </row>
    <row r="305" spans="1:6" hidden="1" x14ac:dyDescent="0.35">
      <c r="A305" s="90"/>
      <c r="B305" s="57"/>
      <c r="C305"/>
      <c r="D305"/>
      <c r="E305" s="76"/>
      <c r="F305" s="75"/>
    </row>
    <row r="306" spans="1:6" hidden="1" x14ac:dyDescent="0.35">
      <c r="B306" s="57"/>
      <c r="C306"/>
      <c r="D306"/>
      <c r="E306" s="76"/>
      <c r="F306" s="75"/>
    </row>
    <row r="307" spans="1:6" hidden="1" x14ac:dyDescent="0.35">
      <c r="B307" s="57"/>
      <c r="C307"/>
      <c r="D307"/>
      <c r="E307" s="76"/>
      <c r="F307" s="75"/>
    </row>
    <row r="308" spans="1:6" hidden="1" x14ac:dyDescent="0.35">
      <c r="B308" s="57"/>
      <c r="C308"/>
      <c r="D308"/>
      <c r="E308" s="76"/>
      <c r="F308" s="75"/>
    </row>
    <row r="309" spans="1:6" hidden="1" x14ac:dyDescent="0.35">
      <c r="B309" s="57"/>
      <c r="C309"/>
      <c r="D309"/>
      <c r="E309" s="76"/>
      <c r="F309" s="75"/>
    </row>
    <row r="310" spans="1:6" hidden="1" x14ac:dyDescent="0.35">
      <c r="B310" s="57"/>
      <c r="C310"/>
      <c r="D310"/>
      <c r="E310" s="76"/>
      <c r="F310" s="75"/>
    </row>
    <row r="311" spans="1:6" hidden="1" x14ac:dyDescent="0.35">
      <c r="B311" s="57"/>
      <c r="C311"/>
      <c r="D311"/>
      <c r="E311" s="76"/>
      <c r="F311" s="75"/>
    </row>
    <row r="312" spans="1:6" hidden="1" x14ac:dyDescent="0.35">
      <c r="B312" s="57"/>
      <c r="C312"/>
      <c r="D312"/>
      <c r="E312" s="76"/>
      <c r="F312" s="75"/>
    </row>
    <row r="313" spans="1:6" hidden="1" x14ac:dyDescent="0.35">
      <c r="B313" s="57"/>
      <c r="C313"/>
      <c r="D313"/>
      <c r="E313" s="76"/>
      <c r="F313" s="75"/>
    </row>
    <row r="314" spans="1:6" hidden="1" x14ac:dyDescent="0.35">
      <c r="B314" s="57"/>
      <c r="C314"/>
      <c r="D314"/>
      <c r="E314" s="76"/>
      <c r="F314" s="75"/>
    </row>
    <row r="315" spans="1:6" hidden="1" x14ac:dyDescent="0.35">
      <c r="B315" s="57"/>
      <c r="C315"/>
      <c r="D315"/>
      <c r="E315" s="76"/>
      <c r="F315" s="75"/>
    </row>
    <row r="316" spans="1:6" hidden="1" x14ac:dyDescent="0.35">
      <c r="B316" s="57"/>
      <c r="C316"/>
      <c r="D316"/>
      <c r="E316" s="76"/>
      <c r="F316" s="75"/>
    </row>
    <row r="317" spans="1:6" hidden="1" x14ac:dyDescent="0.35">
      <c r="B317" s="57"/>
      <c r="C317"/>
      <c r="D317"/>
      <c r="E317" s="76"/>
      <c r="F317" s="75"/>
    </row>
    <row r="318" spans="1:6" hidden="1" x14ac:dyDescent="0.35">
      <c r="B318" s="57"/>
      <c r="C318"/>
      <c r="D318"/>
      <c r="E318" s="76"/>
      <c r="F318" s="75"/>
    </row>
    <row r="319" spans="1:6" hidden="1" x14ac:dyDescent="0.35">
      <c r="B319" s="57"/>
      <c r="C319"/>
      <c r="D319"/>
      <c r="E319" s="76"/>
      <c r="F319" s="75"/>
    </row>
    <row r="320" spans="1:6" hidden="1" x14ac:dyDescent="0.35">
      <c r="B320" s="57"/>
      <c r="C320"/>
      <c r="D320"/>
      <c r="E320" s="76"/>
      <c r="F320" s="75"/>
    </row>
    <row r="321" spans="2:6" hidden="1" x14ac:dyDescent="0.35">
      <c r="B321" s="57"/>
      <c r="C321"/>
      <c r="D321"/>
      <c r="E321" s="76"/>
      <c r="F321" s="75"/>
    </row>
    <row r="322" spans="2:6" hidden="1" x14ac:dyDescent="0.35">
      <c r="B322" s="57"/>
      <c r="C322"/>
      <c r="D322"/>
      <c r="E322" s="76"/>
      <c r="F322" s="75"/>
    </row>
    <row r="323" spans="2:6" hidden="1" x14ac:dyDescent="0.35">
      <c r="B323" s="57"/>
      <c r="C323"/>
      <c r="D323"/>
      <c r="E323" s="76"/>
      <c r="F323" s="75"/>
    </row>
    <row r="324" spans="2:6" hidden="1" x14ac:dyDescent="0.35">
      <c r="B324" s="57"/>
      <c r="C324"/>
      <c r="D324"/>
      <c r="E324" s="76"/>
      <c r="F324" s="75"/>
    </row>
    <row r="325" spans="2:6" hidden="1" x14ac:dyDescent="0.35">
      <c r="B325" s="57"/>
      <c r="C325"/>
      <c r="D325"/>
      <c r="E325" s="76"/>
      <c r="F325" s="75"/>
    </row>
    <row r="326" spans="2:6" hidden="1" x14ac:dyDescent="0.35">
      <c r="B326" s="57"/>
      <c r="C326"/>
      <c r="D326"/>
      <c r="E326" s="76"/>
      <c r="F326" s="75"/>
    </row>
    <row r="327" spans="2:6" hidden="1" x14ac:dyDescent="0.35">
      <c r="B327" s="57"/>
      <c r="C327"/>
      <c r="D327"/>
      <c r="E327" s="76"/>
      <c r="F327" s="75"/>
    </row>
    <row r="328" spans="2:6" hidden="1" x14ac:dyDescent="0.35">
      <c r="B328" s="57"/>
      <c r="C328"/>
      <c r="D328"/>
      <c r="E328" s="76"/>
      <c r="F328" s="75"/>
    </row>
    <row r="329" spans="2:6" hidden="1" x14ac:dyDescent="0.35">
      <c r="B329" s="57"/>
      <c r="C329"/>
      <c r="D329"/>
      <c r="E329" s="76"/>
      <c r="F329" s="75"/>
    </row>
    <row r="330" spans="2:6" hidden="1" x14ac:dyDescent="0.35">
      <c r="B330" s="57"/>
      <c r="C330"/>
      <c r="D330"/>
      <c r="E330" s="76"/>
      <c r="F330" s="75"/>
    </row>
    <row r="331" spans="2:6" hidden="1" x14ac:dyDescent="0.35">
      <c r="B331" s="57"/>
      <c r="C331"/>
      <c r="D331"/>
      <c r="E331" s="76"/>
      <c r="F331" s="75"/>
    </row>
    <row r="332" spans="2:6" hidden="1" x14ac:dyDescent="0.35">
      <c r="B332" s="57"/>
      <c r="C332"/>
      <c r="D332"/>
      <c r="E332" s="76"/>
      <c r="F332" s="75"/>
    </row>
    <row r="333" spans="2:6" hidden="1" x14ac:dyDescent="0.35">
      <c r="B333" s="57"/>
      <c r="C333"/>
      <c r="D333"/>
      <c r="E333" s="76"/>
      <c r="F333" s="75"/>
    </row>
    <row r="334" spans="2:6" hidden="1" x14ac:dyDescent="0.35">
      <c r="B334" s="57"/>
      <c r="C334"/>
      <c r="D334"/>
      <c r="E334" s="76"/>
      <c r="F334" s="75"/>
    </row>
    <row r="335" spans="2:6" hidden="1" x14ac:dyDescent="0.35">
      <c r="B335" s="57"/>
      <c r="C335"/>
      <c r="D335"/>
      <c r="E335" s="76"/>
      <c r="F335" s="75"/>
    </row>
    <row r="336" spans="2:6" hidden="1" x14ac:dyDescent="0.35">
      <c r="B336" s="57"/>
      <c r="C336"/>
      <c r="D336"/>
      <c r="E336" s="76"/>
      <c r="F336" s="75"/>
    </row>
    <row r="337" spans="2:6" hidden="1" x14ac:dyDescent="0.35">
      <c r="B337" s="57"/>
      <c r="C337"/>
      <c r="D337"/>
      <c r="E337" s="76"/>
      <c r="F337" s="75"/>
    </row>
    <row r="338" spans="2:6" hidden="1" x14ac:dyDescent="0.35">
      <c r="B338" s="57"/>
      <c r="C338"/>
      <c r="D338"/>
      <c r="E338" s="76"/>
      <c r="F338" s="75"/>
    </row>
    <row r="339" spans="2:6" hidden="1" x14ac:dyDescent="0.35">
      <c r="B339" s="57"/>
      <c r="C339"/>
      <c r="D339"/>
      <c r="E339" s="76"/>
      <c r="F339" s="75"/>
    </row>
    <row r="340" spans="2:6" hidden="1" x14ac:dyDescent="0.35">
      <c r="B340" s="57"/>
      <c r="C340"/>
      <c r="D340"/>
      <c r="E340" s="76"/>
      <c r="F340" s="75"/>
    </row>
    <row r="341" spans="2:6" hidden="1" x14ac:dyDescent="0.35">
      <c r="B341" s="57"/>
      <c r="C341"/>
      <c r="D341"/>
      <c r="E341" s="76"/>
      <c r="F341" s="75"/>
    </row>
    <row r="342" spans="2:6" hidden="1" x14ac:dyDescent="0.35">
      <c r="B342" s="57"/>
      <c r="C342"/>
      <c r="D342"/>
      <c r="E342" s="76"/>
      <c r="F342" s="75"/>
    </row>
    <row r="343" spans="2:6" hidden="1" x14ac:dyDescent="0.35">
      <c r="B343" s="57"/>
      <c r="C343"/>
      <c r="D343"/>
      <c r="E343" s="76"/>
      <c r="F343" s="75"/>
    </row>
    <row r="344" spans="2:6" hidden="1" x14ac:dyDescent="0.35">
      <c r="B344" s="57"/>
      <c r="C344"/>
      <c r="D344"/>
      <c r="E344" s="76"/>
      <c r="F344" s="75"/>
    </row>
    <row r="345" spans="2:6" hidden="1" x14ac:dyDescent="0.35">
      <c r="B345" s="57"/>
      <c r="C345"/>
      <c r="D345"/>
      <c r="E345" s="76"/>
      <c r="F345" s="75"/>
    </row>
    <row r="346" spans="2:6" hidden="1" x14ac:dyDescent="0.35">
      <c r="B346" s="57"/>
      <c r="C346"/>
      <c r="D346"/>
      <c r="E346" s="76"/>
      <c r="F346" s="75"/>
    </row>
    <row r="347" spans="2:6" hidden="1" x14ac:dyDescent="0.35">
      <c r="B347" s="57"/>
      <c r="C347"/>
      <c r="D347"/>
      <c r="E347" s="76"/>
      <c r="F347" s="75"/>
    </row>
    <row r="348" spans="2:6" hidden="1" x14ac:dyDescent="0.35">
      <c r="B348" s="57"/>
      <c r="C348"/>
      <c r="D348"/>
      <c r="E348" s="76"/>
      <c r="F348" s="75"/>
    </row>
    <row r="349" spans="2:6" hidden="1" x14ac:dyDescent="0.35">
      <c r="B349" s="57"/>
      <c r="C349"/>
      <c r="D349"/>
      <c r="E349" s="76"/>
      <c r="F349" s="75"/>
    </row>
    <row r="350" spans="2:6" hidden="1" x14ac:dyDescent="0.35">
      <c r="B350" s="57"/>
      <c r="C350"/>
      <c r="D350"/>
      <c r="E350" s="76"/>
      <c r="F350" s="75"/>
    </row>
    <row r="351" spans="2:6" hidden="1" x14ac:dyDescent="0.35">
      <c r="B351" s="57"/>
      <c r="C351"/>
      <c r="D351"/>
      <c r="E351" s="76"/>
      <c r="F351" s="75"/>
    </row>
    <row r="352" spans="2:6" hidden="1" x14ac:dyDescent="0.35">
      <c r="B352" s="57"/>
      <c r="C352"/>
      <c r="D352"/>
      <c r="E352" s="76"/>
      <c r="F352" s="75"/>
    </row>
    <row r="353" spans="2:6" hidden="1" x14ac:dyDescent="0.35">
      <c r="B353" s="57"/>
      <c r="C353"/>
      <c r="D353"/>
      <c r="E353" s="76"/>
      <c r="F353" s="75"/>
    </row>
    <row r="354" spans="2:6" hidden="1" x14ac:dyDescent="0.35">
      <c r="B354" s="57"/>
      <c r="C354"/>
      <c r="D354"/>
      <c r="E354" s="76"/>
      <c r="F354" s="75"/>
    </row>
    <row r="355" spans="2:6" hidden="1" x14ac:dyDescent="0.35">
      <c r="B355" s="57"/>
      <c r="C355"/>
      <c r="D355"/>
      <c r="E355" s="76"/>
      <c r="F355" s="75"/>
    </row>
    <row r="356" spans="2:6" hidden="1" x14ac:dyDescent="0.35">
      <c r="B356" s="57"/>
      <c r="C356"/>
      <c r="D356"/>
      <c r="E356" s="76"/>
      <c r="F356" s="75"/>
    </row>
    <row r="357" spans="2:6" hidden="1" x14ac:dyDescent="0.35">
      <c r="B357" s="57"/>
      <c r="C357"/>
      <c r="D357"/>
      <c r="E357" s="76"/>
      <c r="F357" s="75"/>
    </row>
    <row r="358" spans="2:6" hidden="1" x14ac:dyDescent="0.35">
      <c r="B358" s="57"/>
      <c r="C358"/>
      <c r="D358"/>
      <c r="E358" s="76"/>
      <c r="F358" s="75"/>
    </row>
    <row r="359" spans="2:6" hidden="1" x14ac:dyDescent="0.35">
      <c r="B359" s="57"/>
      <c r="C359"/>
      <c r="D359"/>
      <c r="E359" s="76"/>
      <c r="F359" s="75"/>
    </row>
    <row r="360" spans="2:6" hidden="1" x14ac:dyDescent="0.35">
      <c r="B360" s="57"/>
      <c r="C360"/>
      <c r="D360"/>
      <c r="E360" s="76"/>
      <c r="F360" s="75"/>
    </row>
    <row r="361" spans="2:6" hidden="1" x14ac:dyDescent="0.35">
      <c r="B361" s="57"/>
      <c r="C361"/>
      <c r="D361"/>
      <c r="E361" s="76"/>
      <c r="F361" s="75"/>
    </row>
    <row r="362" spans="2:6" hidden="1" x14ac:dyDescent="0.35">
      <c r="B362" s="57"/>
      <c r="C362"/>
      <c r="D362"/>
      <c r="E362" s="76"/>
      <c r="F362" s="75"/>
    </row>
    <row r="363" spans="2:6" hidden="1" x14ac:dyDescent="0.35">
      <c r="B363" s="57"/>
      <c r="C363"/>
      <c r="D363"/>
      <c r="E363" s="76"/>
      <c r="F363" s="75"/>
    </row>
    <row r="364" spans="2:6" hidden="1" x14ac:dyDescent="0.35">
      <c r="B364" s="57"/>
      <c r="C364"/>
      <c r="D364"/>
      <c r="E364" s="76"/>
      <c r="F364" s="75"/>
    </row>
    <row r="365" spans="2:6" hidden="1" x14ac:dyDescent="0.35">
      <c r="B365" s="57"/>
      <c r="C365"/>
      <c r="D365"/>
      <c r="E365" s="76"/>
      <c r="F365" s="75"/>
    </row>
    <row r="366" spans="2:6" hidden="1" x14ac:dyDescent="0.35">
      <c r="B366" s="57"/>
      <c r="C366"/>
      <c r="D366"/>
      <c r="E366" s="76"/>
      <c r="F366" s="75"/>
    </row>
    <row r="367" spans="2:6" hidden="1" x14ac:dyDescent="0.35">
      <c r="B367" s="57"/>
      <c r="C367"/>
      <c r="D367"/>
      <c r="E367" s="76"/>
      <c r="F367" s="75"/>
    </row>
    <row r="368" spans="2:6" hidden="1" x14ac:dyDescent="0.35">
      <c r="B368" s="57"/>
      <c r="C368"/>
      <c r="D368"/>
      <c r="E368" s="76"/>
      <c r="F368" s="75"/>
    </row>
    <row r="369" spans="2:6" hidden="1" x14ac:dyDescent="0.35">
      <c r="B369" s="57"/>
      <c r="C369"/>
      <c r="D369"/>
      <c r="E369" s="76"/>
      <c r="F369" s="75"/>
    </row>
    <row r="370" spans="2:6" hidden="1" x14ac:dyDescent="0.35">
      <c r="B370" s="57"/>
      <c r="C370"/>
      <c r="D370"/>
      <c r="E370" s="76"/>
      <c r="F370" s="75"/>
    </row>
    <row r="371" spans="2:6" hidden="1" x14ac:dyDescent="0.35">
      <c r="B371" s="57"/>
      <c r="C371"/>
      <c r="D371"/>
      <c r="E371" s="76"/>
      <c r="F371" s="75"/>
    </row>
    <row r="372" spans="2:6" hidden="1" x14ac:dyDescent="0.35">
      <c r="B372" s="57"/>
      <c r="C372"/>
      <c r="D372"/>
      <c r="E372" s="76"/>
      <c r="F372" s="75"/>
    </row>
    <row r="373" spans="2:6" hidden="1" x14ac:dyDescent="0.35">
      <c r="B373" s="57"/>
      <c r="C373"/>
      <c r="D373"/>
      <c r="E373" s="76"/>
      <c r="F373" s="75"/>
    </row>
    <row r="374" spans="2:6" hidden="1" x14ac:dyDescent="0.35">
      <c r="B374" s="57"/>
      <c r="C374"/>
      <c r="D374"/>
      <c r="E374" s="76"/>
      <c r="F374" s="75"/>
    </row>
    <row r="375" spans="2:6" hidden="1" x14ac:dyDescent="0.35">
      <c r="B375" s="57"/>
      <c r="C375"/>
      <c r="D375"/>
      <c r="E375" s="76"/>
      <c r="F375" s="75"/>
    </row>
    <row r="376" spans="2:6" hidden="1" x14ac:dyDescent="0.35">
      <c r="B376" s="57"/>
      <c r="C376"/>
      <c r="D376"/>
      <c r="E376" s="76"/>
      <c r="F376" s="75"/>
    </row>
    <row r="377" spans="2:6" hidden="1" x14ac:dyDescent="0.35">
      <c r="B377" s="57"/>
      <c r="C377"/>
      <c r="D377"/>
      <c r="E377" s="76"/>
      <c r="F377" s="75"/>
    </row>
    <row r="378" spans="2:6" hidden="1" x14ac:dyDescent="0.35">
      <c r="B378" s="57"/>
      <c r="C378"/>
      <c r="D378"/>
      <c r="E378" s="76"/>
      <c r="F378" s="75"/>
    </row>
    <row r="379" spans="2:6" hidden="1" x14ac:dyDescent="0.35">
      <c r="B379" s="57"/>
      <c r="C379"/>
      <c r="D379"/>
      <c r="E379" s="76"/>
      <c r="F379" s="75"/>
    </row>
    <row r="380" spans="2:6" hidden="1" x14ac:dyDescent="0.35">
      <c r="B380" s="57"/>
      <c r="C380"/>
      <c r="D380"/>
      <c r="E380" s="76"/>
      <c r="F380" s="75"/>
    </row>
    <row r="381" spans="2:6" hidden="1" x14ac:dyDescent="0.35">
      <c r="B381" s="57"/>
      <c r="C381"/>
      <c r="D381"/>
      <c r="E381" s="76"/>
      <c r="F381" s="75"/>
    </row>
    <row r="382" spans="2:6" hidden="1" x14ac:dyDescent="0.35">
      <c r="B382" s="57"/>
      <c r="C382"/>
      <c r="D382"/>
      <c r="E382" s="76"/>
      <c r="F382" s="75"/>
    </row>
    <row r="383" spans="2:6" hidden="1" x14ac:dyDescent="0.35">
      <c r="B383" s="57"/>
      <c r="C383"/>
      <c r="D383"/>
      <c r="E383" s="76"/>
      <c r="F383" s="75"/>
    </row>
    <row r="384" spans="2:6" hidden="1" x14ac:dyDescent="0.35">
      <c r="B384" s="57"/>
      <c r="C384"/>
      <c r="D384"/>
      <c r="E384" s="76"/>
      <c r="F384" s="75"/>
    </row>
    <row r="385" spans="2:6" hidden="1" x14ac:dyDescent="0.35">
      <c r="B385" s="57"/>
      <c r="C385"/>
      <c r="D385"/>
      <c r="E385" s="76"/>
      <c r="F385" s="75"/>
    </row>
    <row r="386" spans="2:6" hidden="1" x14ac:dyDescent="0.35">
      <c r="B386" s="57"/>
      <c r="C386"/>
      <c r="D386"/>
      <c r="E386" s="76"/>
      <c r="F386" s="75"/>
    </row>
    <row r="387" spans="2:6" hidden="1" x14ac:dyDescent="0.35">
      <c r="B387" s="57"/>
      <c r="C387"/>
      <c r="D387"/>
      <c r="E387" s="76"/>
      <c r="F387" s="75"/>
    </row>
    <row r="388" spans="2:6" hidden="1" x14ac:dyDescent="0.35">
      <c r="B388" s="57"/>
      <c r="C388"/>
      <c r="D388"/>
      <c r="E388" s="76"/>
      <c r="F388" s="75"/>
    </row>
    <row r="389" spans="2:6" hidden="1" x14ac:dyDescent="0.35">
      <c r="B389" s="57"/>
      <c r="C389"/>
      <c r="D389"/>
      <c r="E389" s="76"/>
      <c r="F389" s="75"/>
    </row>
    <row r="390" spans="2:6" hidden="1" x14ac:dyDescent="0.35">
      <c r="B390" s="57"/>
      <c r="C390"/>
      <c r="D390"/>
      <c r="E390" s="76"/>
      <c r="F390" s="75"/>
    </row>
    <row r="391" spans="2:6" hidden="1" x14ac:dyDescent="0.35">
      <c r="B391" s="57"/>
      <c r="C391"/>
      <c r="D391"/>
      <c r="E391" s="76"/>
      <c r="F391" s="75"/>
    </row>
    <row r="392" spans="2:6" hidden="1" x14ac:dyDescent="0.35">
      <c r="B392" s="57"/>
      <c r="C392"/>
      <c r="D392"/>
      <c r="E392" s="76"/>
      <c r="F392" s="75"/>
    </row>
    <row r="393" spans="2:6" hidden="1" x14ac:dyDescent="0.35">
      <c r="B393" s="57"/>
      <c r="C393"/>
      <c r="D393"/>
      <c r="E393" s="76"/>
      <c r="F393" s="75"/>
    </row>
    <row r="394" spans="2:6" hidden="1" x14ac:dyDescent="0.35">
      <c r="B394" s="57"/>
      <c r="C394"/>
      <c r="D394"/>
      <c r="E394" s="76"/>
      <c r="F394" s="75"/>
    </row>
    <row r="395" spans="2:6" hidden="1" x14ac:dyDescent="0.35">
      <c r="B395" s="57"/>
      <c r="C395"/>
      <c r="D395"/>
      <c r="E395" s="76"/>
      <c r="F395" s="75"/>
    </row>
    <row r="396" spans="2:6" hidden="1" x14ac:dyDescent="0.35">
      <c r="B396" s="57"/>
      <c r="C396"/>
      <c r="D396"/>
      <c r="E396" s="76"/>
      <c r="F396" s="75"/>
    </row>
    <row r="397" spans="2:6" hidden="1" x14ac:dyDescent="0.35">
      <c r="B397" s="57"/>
      <c r="C397"/>
      <c r="D397"/>
      <c r="E397" s="76"/>
      <c r="F397" s="75"/>
    </row>
    <row r="398" spans="2:6" hidden="1" x14ac:dyDescent="0.35">
      <c r="B398" s="57"/>
      <c r="C398"/>
      <c r="D398"/>
      <c r="E398" s="76"/>
      <c r="F398" s="75"/>
    </row>
    <row r="399" spans="2:6" hidden="1" x14ac:dyDescent="0.35">
      <c r="B399" s="57"/>
      <c r="C399"/>
      <c r="D399"/>
      <c r="E399" s="76"/>
      <c r="F399" s="75"/>
    </row>
    <row r="400" spans="2:6" hidden="1" x14ac:dyDescent="0.35">
      <c r="B400" s="57"/>
      <c r="C400"/>
      <c r="D400"/>
      <c r="E400" s="76"/>
      <c r="F400" s="75"/>
    </row>
    <row r="401" spans="2:6" hidden="1" x14ac:dyDescent="0.35">
      <c r="B401" s="57"/>
      <c r="C401"/>
      <c r="D401"/>
      <c r="E401" s="76"/>
      <c r="F401" s="75"/>
    </row>
    <row r="402" spans="2:6" hidden="1" x14ac:dyDescent="0.35">
      <c r="B402" s="57"/>
      <c r="C402"/>
      <c r="D402"/>
      <c r="E402" s="76"/>
      <c r="F402" s="75"/>
    </row>
    <row r="403" spans="2:6" hidden="1" x14ac:dyDescent="0.35">
      <c r="B403" s="57"/>
      <c r="C403"/>
      <c r="D403"/>
      <c r="E403" s="76"/>
      <c r="F403" s="75"/>
    </row>
    <row r="404" spans="2:6" hidden="1" x14ac:dyDescent="0.35">
      <c r="B404" s="57"/>
      <c r="C404"/>
      <c r="D404"/>
      <c r="E404" s="76"/>
      <c r="F404" s="75"/>
    </row>
    <row r="405" spans="2:6" hidden="1" x14ac:dyDescent="0.35">
      <c r="B405" s="57"/>
      <c r="C405"/>
      <c r="D405"/>
      <c r="E405" s="76"/>
      <c r="F405" s="75"/>
    </row>
    <row r="406" spans="2:6" hidden="1" x14ac:dyDescent="0.35">
      <c r="B406" s="57"/>
      <c r="C406"/>
      <c r="D406"/>
      <c r="E406" s="76"/>
      <c r="F406" s="75"/>
    </row>
    <row r="407" spans="2:6" hidden="1" x14ac:dyDescent="0.35">
      <c r="B407" s="57"/>
      <c r="C407"/>
      <c r="D407"/>
      <c r="E407" s="76"/>
      <c r="F407" s="75"/>
    </row>
    <row r="408" spans="2:6" hidden="1" x14ac:dyDescent="0.35">
      <c r="B408" s="57"/>
      <c r="C408"/>
      <c r="D408"/>
      <c r="E408" s="76"/>
      <c r="F408" s="75"/>
    </row>
    <row r="409" spans="2:6" hidden="1" x14ac:dyDescent="0.35">
      <c r="B409" s="57"/>
      <c r="C409"/>
      <c r="D409"/>
      <c r="E409" s="76"/>
      <c r="F409" s="75"/>
    </row>
    <row r="410" spans="2:6" hidden="1" x14ac:dyDescent="0.35">
      <c r="B410" s="57"/>
      <c r="C410"/>
      <c r="D410"/>
      <c r="E410" s="76"/>
      <c r="F410" s="75"/>
    </row>
    <row r="411" spans="2:6" hidden="1" x14ac:dyDescent="0.35">
      <c r="B411" s="57"/>
      <c r="C411"/>
      <c r="D411"/>
      <c r="E411" s="76"/>
      <c r="F411" s="75"/>
    </row>
    <row r="412" spans="2:6" hidden="1" x14ac:dyDescent="0.35">
      <c r="B412" s="57"/>
      <c r="C412"/>
      <c r="D412"/>
      <c r="E412" s="76"/>
      <c r="F412" s="75"/>
    </row>
    <row r="413" spans="2:6" hidden="1" x14ac:dyDescent="0.35">
      <c r="B413" s="57"/>
      <c r="C413"/>
      <c r="D413"/>
      <c r="E413" s="76"/>
      <c r="F413" s="75"/>
    </row>
    <row r="414" spans="2:6" hidden="1" x14ac:dyDescent="0.35">
      <c r="B414" s="57"/>
      <c r="C414"/>
      <c r="D414"/>
      <c r="E414" s="76"/>
      <c r="F414" s="75"/>
    </row>
    <row r="415" spans="2:6" hidden="1" x14ac:dyDescent="0.35">
      <c r="B415" s="57"/>
      <c r="C415"/>
      <c r="D415"/>
      <c r="E415" s="76"/>
      <c r="F415" s="75"/>
    </row>
    <row r="416" spans="2:6" hidden="1" x14ac:dyDescent="0.35">
      <c r="B416" s="57"/>
      <c r="C416"/>
      <c r="D416"/>
      <c r="E416" s="76"/>
      <c r="F416" s="75"/>
    </row>
    <row r="417" spans="2:6" hidden="1" x14ac:dyDescent="0.35">
      <c r="B417" s="57"/>
      <c r="C417"/>
      <c r="D417"/>
      <c r="E417" s="76"/>
      <c r="F417" s="75"/>
    </row>
    <row r="418" spans="2:6" hidden="1" x14ac:dyDescent="0.35">
      <c r="B418" s="57"/>
      <c r="C418"/>
      <c r="D418"/>
      <c r="E418" s="76"/>
      <c r="F418" s="75"/>
    </row>
    <row r="419" spans="2:6" hidden="1" x14ac:dyDescent="0.35">
      <c r="B419" s="57"/>
      <c r="C419"/>
      <c r="D419"/>
      <c r="E419" s="76"/>
      <c r="F419" s="75"/>
    </row>
    <row r="420" spans="2:6" hidden="1" x14ac:dyDescent="0.35">
      <c r="B420" s="57"/>
      <c r="C420"/>
      <c r="D420"/>
      <c r="E420" s="76"/>
      <c r="F420" s="75"/>
    </row>
    <row r="421" spans="2:6" hidden="1" x14ac:dyDescent="0.35">
      <c r="B421" s="57"/>
      <c r="C421"/>
      <c r="D421"/>
      <c r="E421" s="76"/>
      <c r="F421" s="75"/>
    </row>
    <row r="422" spans="2:6" hidden="1" x14ac:dyDescent="0.35">
      <c r="B422" s="57"/>
      <c r="C422"/>
      <c r="D422"/>
      <c r="E422" s="76"/>
      <c r="F422" s="75"/>
    </row>
    <row r="423" spans="2:6" hidden="1" x14ac:dyDescent="0.35">
      <c r="B423" s="57"/>
      <c r="C423"/>
      <c r="D423"/>
      <c r="E423" s="76"/>
      <c r="F423" s="75"/>
    </row>
    <row r="424" spans="2:6" hidden="1" x14ac:dyDescent="0.35">
      <c r="B424" s="57"/>
      <c r="C424"/>
      <c r="D424"/>
      <c r="E424" s="76"/>
      <c r="F424" s="75"/>
    </row>
    <row r="425" spans="2:6" hidden="1" x14ac:dyDescent="0.35">
      <c r="B425" s="57"/>
      <c r="C425"/>
      <c r="D425"/>
      <c r="E425" s="76"/>
      <c r="F425" s="75"/>
    </row>
    <row r="426" spans="2:6" hidden="1" x14ac:dyDescent="0.35">
      <c r="B426" s="57"/>
      <c r="C426"/>
      <c r="D426"/>
      <c r="E426" s="76"/>
      <c r="F426" s="75"/>
    </row>
    <row r="427" spans="2:6" hidden="1" x14ac:dyDescent="0.35">
      <c r="B427" s="57"/>
      <c r="C427"/>
      <c r="D427"/>
      <c r="E427" s="76"/>
      <c r="F427" s="75"/>
    </row>
    <row r="428" spans="2:6" hidden="1" x14ac:dyDescent="0.35">
      <c r="B428" s="57"/>
      <c r="C428"/>
      <c r="D428"/>
      <c r="E428" s="76"/>
      <c r="F428" s="75"/>
    </row>
    <row r="429" spans="2:6" hidden="1" x14ac:dyDescent="0.35">
      <c r="B429" s="57"/>
      <c r="C429"/>
      <c r="D429"/>
      <c r="E429" s="76"/>
      <c r="F429" s="75"/>
    </row>
    <row r="430" spans="2:6" hidden="1" x14ac:dyDescent="0.35">
      <c r="B430" s="57"/>
      <c r="C430"/>
      <c r="D430"/>
      <c r="E430" s="76"/>
      <c r="F430" s="75"/>
    </row>
    <row r="431" spans="2:6" hidden="1" x14ac:dyDescent="0.35">
      <c r="B431" s="57"/>
      <c r="C431"/>
      <c r="D431"/>
      <c r="E431" s="76"/>
      <c r="F431" s="75"/>
    </row>
    <row r="432" spans="2:6" hidden="1" x14ac:dyDescent="0.35">
      <c r="B432" s="57"/>
      <c r="C432"/>
      <c r="D432"/>
      <c r="E432" s="76"/>
      <c r="F432" s="75"/>
    </row>
    <row r="433" spans="2:6" hidden="1" x14ac:dyDescent="0.35">
      <c r="B433" s="57"/>
      <c r="C433"/>
      <c r="D433"/>
      <c r="E433" s="76"/>
      <c r="F433" s="75"/>
    </row>
    <row r="434" spans="2:6" hidden="1" x14ac:dyDescent="0.35">
      <c r="B434" s="57"/>
      <c r="C434"/>
      <c r="D434"/>
      <c r="E434" s="76"/>
      <c r="F434" s="75"/>
    </row>
    <row r="435" spans="2:6" hidden="1" x14ac:dyDescent="0.35">
      <c r="B435" s="57"/>
      <c r="C435"/>
      <c r="D435"/>
      <c r="E435" s="76"/>
      <c r="F435" s="75"/>
    </row>
    <row r="436" spans="2:6" hidden="1" x14ac:dyDescent="0.35">
      <c r="B436" s="57"/>
      <c r="C436"/>
      <c r="D436"/>
      <c r="E436" s="76"/>
      <c r="F436" s="75"/>
    </row>
    <row r="437" spans="2:6" hidden="1" x14ac:dyDescent="0.35">
      <c r="B437" s="57"/>
      <c r="C437"/>
      <c r="D437"/>
      <c r="E437" s="76"/>
      <c r="F437" s="75"/>
    </row>
    <row r="438" spans="2:6" hidden="1" x14ac:dyDescent="0.35">
      <c r="B438" s="57"/>
      <c r="C438"/>
      <c r="D438"/>
      <c r="E438" s="76"/>
      <c r="F438" s="75"/>
    </row>
    <row r="439" spans="2:6" hidden="1" x14ac:dyDescent="0.35">
      <c r="B439" s="57"/>
      <c r="C439"/>
      <c r="D439"/>
      <c r="E439" s="76"/>
      <c r="F439" s="75"/>
    </row>
    <row r="440" spans="2:6" hidden="1" x14ac:dyDescent="0.35">
      <c r="B440" s="57"/>
      <c r="C440"/>
      <c r="D440"/>
      <c r="E440" s="76"/>
      <c r="F440" s="75"/>
    </row>
    <row r="441" spans="2:6" hidden="1" x14ac:dyDescent="0.35">
      <c r="B441" s="57"/>
      <c r="C441"/>
      <c r="D441"/>
      <c r="E441" s="76"/>
      <c r="F441" s="75"/>
    </row>
    <row r="442" spans="2:6" hidden="1" x14ac:dyDescent="0.35">
      <c r="B442" s="57"/>
      <c r="C442"/>
      <c r="D442"/>
      <c r="E442" s="76"/>
      <c r="F442" s="75"/>
    </row>
    <row r="443" spans="2:6" hidden="1" x14ac:dyDescent="0.35">
      <c r="B443" s="57"/>
      <c r="C443"/>
      <c r="D443"/>
      <c r="E443" s="76"/>
      <c r="F443" s="75"/>
    </row>
    <row r="444" spans="2:6" hidden="1" x14ac:dyDescent="0.35">
      <c r="B444" s="57"/>
      <c r="C444"/>
      <c r="D444"/>
      <c r="E444" s="76"/>
      <c r="F444" s="75"/>
    </row>
    <row r="445" spans="2:6" hidden="1" x14ac:dyDescent="0.35">
      <c r="B445" s="57"/>
      <c r="C445"/>
      <c r="D445"/>
      <c r="E445" s="76"/>
      <c r="F445" s="75"/>
    </row>
    <row r="446" spans="2:6" hidden="1" x14ac:dyDescent="0.35">
      <c r="B446" s="57"/>
      <c r="C446"/>
      <c r="D446"/>
      <c r="E446" s="76"/>
      <c r="F446" s="75"/>
    </row>
    <row r="447" spans="2:6" hidden="1" x14ac:dyDescent="0.35">
      <c r="B447" s="57"/>
      <c r="C447"/>
      <c r="D447"/>
      <c r="E447" s="76"/>
      <c r="F447" s="75"/>
    </row>
    <row r="448" spans="2:6" hidden="1" x14ac:dyDescent="0.35">
      <c r="B448" s="57"/>
      <c r="C448"/>
      <c r="D448"/>
      <c r="E448" s="76"/>
      <c r="F448" s="75"/>
    </row>
    <row r="449" spans="2:6" hidden="1" x14ac:dyDescent="0.35">
      <c r="B449" s="57"/>
      <c r="C449"/>
      <c r="D449"/>
      <c r="E449" s="76"/>
      <c r="F449" s="75"/>
    </row>
    <row r="450" spans="2:6" hidden="1" x14ac:dyDescent="0.35">
      <c r="B450" s="57"/>
      <c r="C450"/>
      <c r="D450"/>
      <c r="E450" s="76"/>
      <c r="F450" s="75"/>
    </row>
    <row r="451" spans="2:6" hidden="1" x14ac:dyDescent="0.35">
      <c r="B451" s="57"/>
      <c r="C451"/>
      <c r="D451"/>
      <c r="E451" s="76"/>
      <c r="F451" s="75"/>
    </row>
    <row r="452" spans="2:6" hidden="1" x14ac:dyDescent="0.35">
      <c r="B452" s="57"/>
      <c r="C452"/>
      <c r="D452"/>
      <c r="E452" s="76"/>
      <c r="F452" s="75"/>
    </row>
    <row r="453" spans="2:6" hidden="1" x14ac:dyDescent="0.35">
      <c r="B453" s="57"/>
      <c r="C453"/>
      <c r="D453"/>
      <c r="E453" s="76"/>
      <c r="F453" s="75"/>
    </row>
    <row r="454" spans="2:6" hidden="1" x14ac:dyDescent="0.35">
      <c r="B454" s="57"/>
      <c r="C454"/>
      <c r="D454"/>
      <c r="E454" s="76"/>
      <c r="F454" s="75"/>
    </row>
    <row r="455" spans="2:6" hidden="1" x14ac:dyDescent="0.35">
      <c r="B455" s="57"/>
      <c r="C455"/>
      <c r="D455"/>
      <c r="E455" s="76"/>
      <c r="F455" s="75"/>
    </row>
    <row r="456" spans="2:6" hidden="1" x14ac:dyDescent="0.35">
      <c r="B456" s="57"/>
      <c r="C456"/>
      <c r="D456"/>
      <c r="E456" s="76"/>
      <c r="F456" s="75"/>
    </row>
    <row r="457" spans="2:6" hidden="1" x14ac:dyDescent="0.35">
      <c r="B457" s="57"/>
      <c r="C457"/>
      <c r="D457"/>
      <c r="E457" s="76"/>
      <c r="F457" s="75"/>
    </row>
    <row r="458" spans="2:6" hidden="1" x14ac:dyDescent="0.35">
      <c r="B458" s="57"/>
      <c r="C458"/>
      <c r="D458"/>
      <c r="E458" s="76"/>
      <c r="F458" s="75"/>
    </row>
    <row r="459" spans="2:6" hidden="1" x14ac:dyDescent="0.35">
      <c r="B459" s="57"/>
      <c r="C459"/>
      <c r="D459"/>
      <c r="E459" s="76"/>
      <c r="F459" s="75"/>
    </row>
    <row r="460" spans="2:6" hidden="1" x14ac:dyDescent="0.35">
      <c r="B460" s="57"/>
      <c r="C460"/>
      <c r="D460"/>
      <c r="E460" s="76"/>
      <c r="F460" s="75"/>
    </row>
    <row r="461" spans="2:6" hidden="1" x14ac:dyDescent="0.35">
      <c r="B461" s="57"/>
      <c r="C461"/>
      <c r="D461"/>
      <c r="E461" s="76"/>
      <c r="F461" s="75"/>
    </row>
    <row r="462" spans="2:6" hidden="1" x14ac:dyDescent="0.35">
      <c r="B462" s="57"/>
      <c r="C462"/>
      <c r="D462"/>
      <c r="E462" s="76"/>
      <c r="F462" s="75"/>
    </row>
    <row r="463" spans="2:6" hidden="1" x14ac:dyDescent="0.35">
      <c r="B463" s="57"/>
      <c r="C463"/>
      <c r="D463"/>
      <c r="E463" s="76"/>
      <c r="F463" s="75"/>
    </row>
    <row r="464" spans="2:6" hidden="1" x14ac:dyDescent="0.35">
      <c r="B464" s="57"/>
      <c r="C464"/>
      <c r="D464"/>
      <c r="E464" s="76"/>
      <c r="F464" s="75"/>
    </row>
    <row r="465" spans="2:6" hidden="1" x14ac:dyDescent="0.35">
      <c r="B465" s="57"/>
      <c r="C465"/>
      <c r="D465"/>
      <c r="E465" s="76"/>
      <c r="F465" s="75"/>
    </row>
    <row r="466" spans="2:6" hidden="1" x14ac:dyDescent="0.35">
      <c r="B466" s="57"/>
      <c r="C466"/>
      <c r="D466"/>
      <c r="E466" s="76"/>
      <c r="F466" s="75"/>
    </row>
    <row r="467" spans="2:6" hidden="1" x14ac:dyDescent="0.35">
      <c r="B467" s="57"/>
      <c r="C467"/>
      <c r="D467"/>
      <c r="E467" s="76"/>
      <c r="F467" s="75"/>
    </row>
    <row r="468" spans="2:6" hidden="1" x14ac:dyDescent="0.35">
      <c r="B468" s="57"/>
      <c r="C468"/>
      <c r="D468"/>
      <c r="E468" s="76"/>
      <c r="F468" s="75"/>
    </row>
    <row r="469" spans="2:6" hidden="1" x14ac:dyDescent="0.35">
      <c r="B469" s="57"/>
      <c r="C469"/>
      <c r="D469"/>
      <c r="E469" s="76"/>
      <c r="F469" s="75"/>
    </row>
    <row r="470" spans="2:6" hidden="1" x14ac:dyDescent="0.35">
      <c r="B470" s="57"/>
      <c r="C470"/>
      <c r="D470"/>
      <c r="E470" s="76"/>
      <c r="F470" s="75"/>
    </row>
    <row r="471" spans="2:6" hidden="1" x14ac:dyDescent="0.35">
      <c r="B471" s="57"/>
      <c r="C471"/>
      <c r="D471"/>
      <c r="E471" s="76"/>
      <c r="F471" s="75"/>
    </row>
    <row r="472" spans="2:6" hidden="1" x14ac:dyDescent="0.35">
      <c r="B472" s="57"/>
      <c r="C472"/>
      <c r="D472"/>
      <c r="E472" s="76"/>
      <c r="F472" s="75"/>
    </row>
    <row r="473" spans="2:6" hidden="1" x14ac:dyDescent="0.35">
      <c r="B473" s="57"/>
      <c r="C473"/>
      <c r="D473"/>
      <c r="E473" s="76"/>
      <c r="F473" s="75"/>
    </row>
    <row r="474" spans="2:6" hidden="1" x14ac:dyDescent="0.35">
      <c r="B474" s="57"/>
      <c r="C474"/>
      <c r="D474"/>
      <c r="E474" s="76"/>
      <c r="F474" s="75"/>
    </row>
    <row r="475" spans="2:6" hidden="1" x14ac:dyDescent="0.35">
      <c r="B475" s="57"/>
      <c r="C475"/>
      <c r="D475"/>
      <c r="E475" s="76"/>
      <c r="F475" s="75"/>
    </row>
    <row r="476" spans="2:6" hidden="1" x14ac:dyDescent="0.35">
      <c r="B476" s="57"/>
      <c r="C476"/>
      <c r="D476"/>
      <c r="E476" s="76"/>
      <c r="F476" s="75"/>
    </row>
    <row r="477" spans="2:6" hidden="1" x14ac:dyDescent="0.35">
      <c r="B477" s="57"/>
      <c r="C477"/>
      <c r="D477"/>
      <c r="E477" s="76"/>
      <c r="F477" s="75"/>
    </row>
    <row r="478" spans="2:6" hidden="1" x14ac:dyDescent="0.35">
      <c r="B478" s="57"/>
      <c r="C478"/>
      <c r="D478"/>
      <c r="E478" s="76"/>
      <c r="F478" s="75"/>
    </row>
    <row r="479" spans="2:6" hidden="1" x14ac:dyDescent="0.35">
      <c r="B479" s="57"/>
      <c r="C479"/>
      <c r="D479"/>
      <c r="E479" s="76"/>
      <c r="F479" s="75"/>
    </row>
    <row r="480" spans="2:6" hidden="1" x14ac:dyDescent="0.35">
      <c r="B480" s="57"/>
      <c r="C480"/>
      <c r="D480"/>
      <c r="E480" s="76"/>
      <c r="F480" s="75"/>
    </row>
    <row r="481" spans="2:6" hidden="1" x14ac:dyDescent="0.35">
      <c r="B481" s="57"/>
      <c r="C481"/>
      <c r="D481"/>
      <c r="E481" s="76"/>
      <c r="F481" s="75"/>
    </row>
    <row r="482" spans="2:6" hidden="1" x14ac:dyDescent="0.35">
      <c r="B482" s="57"/>
      <c r="C482"/>
      <c r="D482"/>
      <c r="E482" s="76"/>
      <c r="F482" s="75"/>
    </row>
    <row r="483" spans="2:6" hidden="1" x14ac:dyDescent="0.35">
      <c r="B483" s="57"/>
      <c r="C483"/>
      <c r="D483"/>
      <c r="E483" s="76"/>
      <c r="F483" s="75"/>
    </row>
    <row r="484" spans="2:6" hidden="1" x14ac:dyDescent="0.35">
      <c r="B484" s="57"/>
      <c r="C484"/>
      <c r="D484"/>
      <c r="E484" s="76"/>
      <c r="F484" s="75"/>
    </row>
    <row r="485" spans="2:6" hidden="1" x14ac:dyDescent="0.35">
      <c r="B485" s="57"/>
      <c r="C485"/>
      <c r="D485"/>
      <c r="E485" s="76"/>
      <c r="F485" s="75"/>
    </row>
    <row r="486" spans="2:6" hidden="1" x14ac:dyDescent="0.35">
      <c r="B486" s="57"/>
      <c r="C486"/>
      <c r="D486"/>
      <c r="E486" s="76"/>
      <c r="F486" s="75"/>
    </row>
    <row r="487" spans="2:6" hidden="1" x14ac:dyDescent="0.35">
      <c r="B487" s="57"/>
      <c r="C487"/>
      <c r="D487"/>
      <c r="E487" s="76"/>
      <c r="F487" s="75"/>
    </row>
    <row r="488" spans="2:6" hidden="1" x14ac:dyDescent="0.35">
      <c r="B488" s="57"/>
      <c r="C488"/>
      <c r="D488"/>
      <c r="E488" s="76"/>
      <c r="F488" s="75"/>
    </row>
    <row r="489" spans="2:6" hidden="1" x14ac:dyDescent="0.35">
      <c r="B489" s="57"/>
      <c r="C489"/>
      <c r="D489"/>
      <c r="E489" s="76"/>
      <c r="F489" s="75"/>
    </row>
    <row r="490" spans="2:6" hidden="1" x14ac:dyDescent="0.35">
      <c r="B490" s="57"/>
      <c r="C490"/>
      <c r="D490"/>
      <c r="E490" s="76"/>
      <c r="F490" s="75"/>
    </row>
    <row r="491" spans="2:6" hidden="1" x14ac:dyDescent="0.35">
      <c r="B491" s="57"/>
      <c r="C491"/>
      <c r="D491"/>
      <c r="E491" s="76"/>
      <c r="F491" s="75"/>
    </row>
    <row r="492" spans="2:6" hidden="1" x14ac:dyDescent="0.35">
      <c r="B492" s="57"/>
      <c r="C492"/>
      <c r="D492"/>
      <c r="E492" s="76"/>
      <c r="F492" s="75"/>
    </row>
    <row r="493" spans="2:6" hidden="1" x14ac:dyDescent="0.35">
      <c r="B493" s="57"/>
      <c r="C493"/>
      <c r="D493"/>
      <c r="E493" s="76"/>
      <c r="F493" s="75"/>
    </row>
    <row r="494" spans="2:6" hidden="1" x14ac:dyDescent="0.35">
      <c r="B494" s="57"/>
      <c r="C494"/>
      <c r="D494"/>
      <c r="E494" s="76"/>
      <c r="F494" s="75"/>
    </row>
    <row r="495" spans="2:6" hidden="1" x14ac:dyDescent="0.35">
      <c r="B495" s="57"/>
      <c r="C495"/>
      <c r="D495"/>
      <c r="E495" s="76"/>
      <c r="F495" s="75"/>
    </row>
    <row r="496" spans="2:6" hidden="1" x14ac:dyDescent="0.35">
      <c r="B496" s="57"/>
      <c r="C496"/>
      <c r="D496"/>
      <c r="E496" s="76"/>
      <c r="F496" s="75"/>
    </row>
    <row r="497" spans="2:6" hidden="1" x14ac:dyDescent="0.35">
      <c r="B497" s="57"/>
      <c r="C497"/>
      <c r="D497"/>
      <c r="E497" s="76"/>
      <c r="F497" s="75"/>
    </row>
    <row r="498" spans="2:6" hidden="1" x14ac:dyDescent="0.35">
      <c r="B498" s="57"/>
      <c r="C498"/>
      <c r="D498"/>
      <c r="E498" s="76"/>
      <c r="F498" s="75"/>
    </row>
    <row r="499" spans="2:6" hidden="1" x14ac:dyDescent="0.35">
      <c r="B499" s="57"/>
      <c r="C499"/>
      <c r="D499"/>
      <c r="E499" s="76"/>
      <c r="F499" s="75"/>
    </row>
    <row r="500" spans="2:6" hidden="1" x14ac:dyDescent="0.35">
      <c r="B500" s="57"/>
      <c r="C500"/>
      <c r="D500"/>
      <c r="E500" s="76"/>
      <c r="F500" s="75"/>
    </row>
    <row r="501" spans="2:6" hidden="1" x14ac:dyDescent="0.35">
      <c r="B501" s="57"/>
      <c r="C501"/>
      <c r="D501"/>
      <c r="E501" s="76"/>
      <c r="F501" s="75"/>
    </row>
    <row r="502" spans="2:6" hidden="1" x14ac:dyDescent="0.35">
      <c r="B502" s="57"/>
      <c r="C502"/>
      <c r="D502"/>
      <c r="E502" s="76"/>
      <c r="F502" s="75"/>
    </row>
    <row r="503" spans="2:6" hidden="1" x14ac:dyDescent="0.35">
      <c r="B503" s="57"/>
      <c r="C503"/>
      <c r="D503"/>
      <c r="E503" s="76"/>
      <c r="F503" s="75"/>
    </row>
    <row r="504" spans="2:6" hidden="1" x14ac:dyDescent="0.35">
      <c r="B504" s="57"/>
      <c r="C504"/>
      <c r="D504"/>
      <c r="E504" s="76"/>
      <c r="F504" s="75"/>
    </row>
    <row r="505" spans="2:6" hidden="1" x14ac:dyDescent="0.35">
      <c r="B505" s="57"/>
      <c r="C505"/>
      <c r="D505"/>
      <c r="E505" s="76"/>
      <c r="F505" s="75"/>
    </row>
    <row r="506" spans="2:6" hidden="1" x14ac:dyDescent="0.35">
      <c r="B506" s="57"/>
      <c r="C506"/>
      <c r="D506"/>
      <c r="E506" s="76"/>
      <c r="F506" s="75"/>
    </row>
    <row r="507" spans="2:6" hidden="1" x14ac:dyDescent="0.35">
      <c r="B507" s="57"/>
      <c r="C507"/>
      <c r="D507"/>
      <c r="E507" s="76"/>
      <c r="F507" s="75"/>
    </row>
    <row r="508" spans="2:6" hidden="1" x14ac:dyDescent="0.35">
      <c r="B508" s="57"/>
      <c r="C508"/>
      <c r="D508"/>
      <c r="E508" s="76"/>
      <c r="F508" s="75"/>
    </row>
    <row r="509" spans="2:6" hidden="1" x14ac:dyDescent="0.35">
      <c r="B509" s="57"/>
      <c r="C509"/>
      <c r="D509"/>
      <c r="E509" s="76"/>
      <c r="F509" s="75"/>
    </row>
    <row r="510" spans="2:6" hidden="1" x14ac:dyDescent="0.35">
      <c r="B510" s="57"/>
      <c r="C510"/>
      <c r="D510"/>
      <c r="E510" s="76"/>
      <c r="F510" s="75"/>
    </row>
    <row r="511" spans="2:6" hidden="1" x14ac:dyDescent="0.35">
      <c r="B511" s="57"/>
      <c r="C511"/>
      <c r="D511"/>
      <c r="E511" s="76"/>
      <c r="F511" s="75"/>
    </row>
    <row r="512" spans="2:6" hidden="1" x14ac:dyDescent="0.35">
      <c r="B512" s="57"/>
      <c r="C512"/>
      <c r="D512"/>
      <c r="E512" s="76"/>
      <c r="F512" s="75"/>
    </row>
    <row r="513" spans="2:6" hidden="1" x14ac:dyDescent="0.35">
      <c r="B513" s="57"/>
      <c r="C513"/>
      <c r="D513"/>
      <c r="E513" s="76"/>
      <c r="F513" s="75"/>
    </row>
    <row r="514" spans="2:6" hidden="1" x14ac:dyDescent="0.35">
      <c r="B514" s="57"/>
      <c r="C514"/>
      <c r="D514"/>
      <c r="E514" s="76"/>
      <c r="F514" s="75"/>
    </row>
    <row r="515" spans="2:6" hidden="1" x14ac:dyDescent="0.35">
      <c r="B515" s="57"/>
      <c r="C515"/>
      <c r="D515"/>
      <c r="E515" s="76"/>
      <c r="F515" s="75"/>
    </row>
    <row r="516" spans="2:6" hidden="1" x14ac:dyDescent="0.35">
      <c r="B516" s="57"/>
      <c r="C516"/>
      <c r="D516"/>
      <c r="E516" s="76"/>
      <c r="F516" s="75"/>
    </row>
    <row r="517" spans="2:6" hidden="1" x14ac:dyDescent="0.35">
      <c r="B517" s="57"/>
      <c r="C517"/>
      <c r="D517"/>
      <c r="E517" s="76"/>
      <c r="F517" s="75"/>
    </row>
    <row r="518" spans="2:6" hidden="1" x14ac:dyDescent="0.35">
      <c r="B518" s="57"/>
      <c r="C518"/>
      <c r="D518"/>
      <c r="E518" s="76"/>
      <c r="F518" s="75"/>
    </row>
    <row r="519" spans="2:6" hidden="1" x14ac:dyDescent="0.35">
      <c r="B519" s="57"/>
      <c r="C519"/>
      <c r="D519"/>
      <c r="E519" s="76"/>
      <c r="F519" s="75"/>
    </row>
    <row r="520" spans="2:6" hidden="1" x14ac:dyDescent="0.35">
      <c r="B520" s="57"/>
      <c r="C520"/>
      <c r="D520"/>
      <c r="E520" s="76"/>
      <c r="F520" s="75"/>
    </row>
    <row r="521" spans="2:6" hidden="1" x14ac:dyDescent="0.35">
      <c r="B521" s="57"/>
      <c r="C521"/>
      <c r="D521"/>
      <c r="E521" s="76"/>
      <c r="F521" s="75"/>
    </row>
    <row r="522" spans="2:6" hidden="1" x14ac:dyDescent="0.35">
      <c r="B522" s="57"/>
      <c r="C522"/>
      <c r="D522"/>
      <c r="E522" s="76"/>
      <c r="F522" s="75"/>
    </row>
    <row r="523" spans="2:6" hidden="1" x14ac:dyDescent="0.35">
      <c r="B523" s="57"/>
      <c r="C523"/>
      <c r="D523"/>
      <c r="E523" s="76"/>
      <c r="F523" s="75"/>
    </row>
    <row r="524" spans="2:6" hidden="1" x14ac:dyDescent="0.35">
      <c r="B524" s="57"/>
      <c r="C524"/>
      <c r="D524"/>
      <c r="E524" s="76"/>
      <c r="F524" s="75"/>
    </row>
    <row r="525" spans="2:6" hidden="1" x14ac:dyDescent="0.35">
      <c r="B525" s="57"/>
      <c r="C525"/>
      <c r="D525"/>
      <c r="E525" s="76"/>
      <c r="F525" s="75"/>
    </row>
    <row r="526" spans="2:6" hidden="1" x14ac:dyDescent="0.35">
      <c r="B526" s="57"/>
      <c r="C526"/>
      <c r="D526"/>
      <c r="E526" s="76"/>
      <c r="F526" s="75"/>
    </row>
    <row r="527" spans="2:6" hidden="1" x14ac:dyDescent="0.35">
      <c r="B527" s="57"/>
      <c r="C527"/>
      <c r="D527"/>
      <c r="E527" s="76"/>
      <c r="F527" s="75"/>
    </row>
    <row r="528" spans="2:6" hidden="1" x14ac:dyDescent="0.35">
      <c r="B528" s="57"/>
      <c r="C528"/>
      <c r="D528"/>
      <c r="E528" s="76"/>
      <c r="F528" s="75"/>
    </row>
    <row r="529" spans="2:6" hidden="1" x14ac:dyDescent="0.35">
      <c r="B529" s="57"/>
      <c r="C529"/>
      <c r="D529"/>
      <c r="E529" s="76"/>
      <c r="F529" s="75"/>
    </row>
    <row r="530" spans="2:6" hidden="1" x14ac:dyDescent="0.35">
      <c r="B530" s="57"/>
      <c r="C530"/>
      <c r="D530"/>
      <c r="E530" s="76"/>
      <c r="F530" s="75"/>
    </row>
    <row r="531" spans="2:6" hidden="1" x14ac:dyDescent="0.35">
      <c r="B531" s="57"/>
      <c r="C531"/>
      <c r="D531"/>
      <c r="E531" s="76"/>
      <c r="F531" s="75"/>
    </row>
    <row r="532" spans="2:6" hidden="1" x14ac:dyDescent="0.35">
      <c r="B532" s="57"/>
      <c r="C532"/>
      <c r="D532"/>
      <c r="E532" s="76"/>
      <c r="F532" s="75"/>
    </row>
    <row r="533" spans="2:6" hidden="1" x14ac:dyDescent="0.35">
      <c r="B533" s="57"/>
      <c r="C533"/>
      <c r="D533"/>
      <c r="E533" s="76"/>
      <c r="F533" s="75"/>
    </row>
    <row r="534" spans="2:6" hidden="1" x14ac:dyDescent="0.35">
      <c r="B534" s="57"/>
      <c r="C534"/>
      <c r="D534"/>
      <c r="E534" s="76"/>
      <c r="F534" s="75"/>
    </row>
    <row r="535" spans="2:6" hidden="1" x14ac:dyDescent="0.35">
      <c r="B535" s="57"/>
      <c r="C535"/>
      <c r="D535"/>
      <c r="E535" s="76"/>
      <c r="F535" s="75"/>
    </row>
    <row r="536" spans="2:6" hidden="1" x14ac:dyDescent="0.35">
      <c r="B536" s="57"/>
      <c r="C536"/>
      <c r="D536"/>
      <c r="E536" s="76"/>
      <c r="F536" s="75"/>
    </row>
    <row r="537" spans="2:6" hidden="1" x14ac:dyDescent="0.35">
      <c r="B537" s="57"/>
      <c r="C537"/>
      <c r="D537"/>
      <c r="E537" s="76"/>
      <c r="F537" s="75"/>
    </row>
    <row r="538" spans="2:6" hidden="1" x14ac:dyDescent="0.35">
      <c r="B538" s="57"/>
      <c r="C538"/>
      <c r="D538"/>
      <c r="E538" s="76"/>
      <c r="F538" s="75"/>
    </row>
    <row r="539" spans="2:6" hidden="1" x14ac:dyDescent="0.35">
      <c r="B539" s="57"/>
      <c r="C539"/>
      <c r="D539"/>
      <c r="E539" s="76"/>
      <c r="F539" s="75"/>
    </row>
    <row r="540" spans="2:6" hidden="1" x14ac:dyDescent="0.35">
      <c r="B540" s="57"/>
      <c r="C540"/>
      <c r="D540"/>
      <c r="E540" s="76"/>
      <c r="F540" s="75"/>
    </row>
    <row r="541" spans="2:6" hidden="1" x14ac:dyDescent="0.35">
      <c r="B541" s="57"/>
      <c r="C541"/>
      <c r="D541"/>
      <c r="E541" s="76"/>
      <c r="F541" s="75"/>
    </row>
    <row r="542" spans="2:6" hidden="1" x14ac:dyDescent="0.35">
      <c r="B542" s="57"/>
      <c r="C542"/>
      <c r="D542"/>
      <c r="E542" s="76"/>
      <c r="F542" s="75"/>
    </row>
    <row r="543" spans="2:6" hidden="1" x14ac:dyDescent="0.35">
      <c r="B543" s="57"/>
      <c r="C543"/>
      <c r="D543"/>
      <c r="E543" s="76"/>
      <c r="F543" s="75"/>
    </row>
    <row r="544" spans="2:6" hidden="1" x14ac:dyDescent="0.35">
      <c r="B544" s="57"/>
      <c r="C544"/>
      <c r="D544"/>
      <c r="E544" s="76"/>
      <c r="F544" s="75"/>
    </row>
    <row r="545" spans="2:6" hidden="1" x14ac:dyDescent="0.35">
      <c r="B545" s="57"/>
      <c r="C545"/>
      <c r="D545"/>
      <c r="E545" s="76"/>
      <c r="F545" s="75"/>
    </row>
    <row r="546" spans="2:6" hidden="1" x14ac:dyDescent="0.35">
      <c r="B546" s="57"/>
      <c r="C546"/>
      <c r="D546"/>
      <c r="E546" s="76"/>
      <c r="F546" s="75"/>
    </row>
    <row r="547" spans="2:6" hidden="1" x14ac:dyDescent="0.35">
      <c r="B547" s="57"/>
      <c r="C547"/>
      <c r="D547"/>
      <c r="E547" s="76"/>
      <c r="F547" s="75"/>
    </row>
    <row r="548" spans="2:6" hidden="1" x14ac:dyDescent="0.35">
      <c r="B548" s="57"/>
      <c r="C548"/>
      <c r="D548"/>
      <c r="E548" s="76"/>
      <c r="F548" s="75"/>
    </row>
    <row r="549" spans="2:6" hidden="1" x14ac:dyDescent="0.35">
      <c r="B549" s="57"/>
      <c r="C549"/>
      <c r="D549"/>
      <c r="E549" s="76"/>
      <c r="F549" s="75"/>
    </row>
    <row r="550" spans="2:6" hidden="1" x14ac:dyDescent="0.35">
      <c r="B550" s="57"/>
      <c r="C550"/>
      <c r="D550"/>
      <c r="E550" s="76"/>
      <c r="F550" s="75"/>
    </row>
    <row r="551" spans="2:6" hidden="1" x14ac:dyDescent="0.35">
      <c r="B551" s="57"/>
      <c r="C551"/>
      <c r="D551"/>
      <c r="E551" s="76"/>
      <c r="F551" s="75"/>
    </row>
    <row r="552" spans="2:6" ht="15" hidden="1" thickBot="1" x14ac:dyDescent="0.4">
      <c r="B552" s="57"/>
      <c r="C552"/>
      <c r="D552"/>
      <c r="E552" s="77"/>
      <c r="F552" s="78"/>
    </row>
    <row r="553" spans="2:6" hidden="1" x14ac:dyDescent="0.35">
      <c r="B553" s="57"/>
      <c r="C553"/>
      <c r="D553"/>
    </row>
    <row r="554" spans="2:6" hidden="1" x14ac:dyDescent="0.35">
      <c r="B554" s="57"/>
      <c r="C554"/>
      <c r="D554"/>
    </row>
    <row r="555" spans="2:6" hidden="1" x14ac:dyDescent="0.35">
      <c r="B555" s="57"/>
      <c r="C555"/>
      <c r="D555"/>
    </row>
    <row r="556" spans="2:6" hidden="1" x14ac:dyDescent="0.35">
      <c r="B556" s="57"/>
      <c r="C556"/>
      <c r="D556"/>
    </row>
    <row r="557" spans="2:6" hidden="1" x14ac:dyDescent="0.35">
      <c r="B557" s="57"/>
      <c r="C557"/>
      <c r="D557"/>
    </row>
    <row r="558" spans="2:6" hidden="1" x14ac:dyDescent="0.35">
      <c r="B558" s="57"/>
      <c r="C558"/>
      <c r="D558"/>
    </row>
    <row r="559" spans="2:6" hidden="1" x14ac:dyDescent="0.35">
      <c r="B559" s="57"/>
      <c r="C559"/>
      <c r="D559"/>
    </row>
    <row r="560" spans="2:6" hidden="1" x14ac:dyDescent="0.35">
      <c r="B560" s="57"/>
      <c r="C560"/>
      <c r="D560"/>
    </row>
    <row r="561" spans="2:4" hidden="1" x14ac:dyDescent="0.35">
      <c r="B561" s="57"/>
      <c r="C561"/>
      <c r="D561"/>
    </row>
    <row r="562" spans="2:4" hidden="1" x14ac:dyDescent="0.35">
      <c r="B562" s="57"/>
      <c r="C562"/>
      <c r="D562"/>
    </row>
    <row r="563" spans="2:4" hidden="1" x14ac:dyDescent="0.35">
      <c r="B563" s="57"/>
      <c r="C563"/>
      <c r="D563"/>
    </row>
    <row r="564" spans="2:4" hidden="1" x14ac:dyDescent="0.35">
      <c r="B564" s="57"/>
      <c r="C564"/>
      <c r="D564"/>
    </row>
    <row r="565" spans="2:4" hidden="1" x14ac:dyDescent="0.35">
      <c r="B565" s="57"/>
      <c r="C565"/>
      <c r="D565"/>
    </row>
    <row r="566" spans="2:4" hidden="1" x14ac:dyDescent="0.35">
      <c r="B566" s="57"/>
      <c r="C566"/>
      <c r="D566"/>
    </row>
    <row r="567" spans="2:4" hidden="1" x14ac:dyDescent="0.35">
      <c r="B567" s="57"/>
      <c r="C567"/>
      <c r="D567"/>
    </row>
    <row r="568" spans="2:4" hidden="1" x14ac:dyDescent="0.35">
      <c r="B568" s="57"/>
      <c r="C568"/>
      <c r="D568"/>
    </row>
    <row r="569" spans="2:4" hidden="1" x14ac:dyDescent="0.35">
      <c r="B569" s="57"/>
      <c r="C569"/>
      <c r="D569"/>
    </row>
    <row r="570" spans="2:4" hidden="1" x14ac:dyDescent="0.35">
      <c r="B570" s="57"/>
      <c r="C570"/>
      <c r="D570"/>
    </row>
    <row r="571" spans="2:4" hidden="1" x14ac:dyDescent="0.35">
      <c r="B571" s="57"/>
      <c r="C571"/>
      <c r="D571"/>
    </row>
    <row r="572" spans="2:4" hidden="1" x14ac:dyDescent="0.35">
      <c r="B572" s="57"/>
      <c r="C572"/>
      <c r="D572"/>
    </row>
    <row r="573" spans="2:4" hidden="1" x14ac:dyDescent="0.35">
      <c r="B573" s="57"/>
      <c r="C573"/>
      <c r="D573"/>
    </row>
    <row r="574" spans="2:4" hidden="1" x14ac:dyDescent="0.35">
      <c r="B574" s="57"/>
      <c r="C574"/>
      <c r="D574"/>
    </row>
    <row r="575" spans="2:4" hidden="1" x14ac:dyDescent="0.35">
      <c r="B575" s="57"/>
      <c r="C575"/>
      <c r="D575"/>
    </row>
    <row r="576" spans="2:4" hidden="1" x14ac:dyDescent="0.35">
      <c r="B576" s="57"/>
      <c r="C576"/>
      <c r="D576"/>
    </row>
    <row r="577" spans="2:4" hidden="1" x14ac:dyDescent="0.35">
      <c r="B577" s="57"/>
      <c r="C577"/>
      <c r="D577"/>
    </row>
    <row r="578" spans="2:4" hidden="1" x14ac:dyDescent="0.35">
      <c r="B578" s="57"/>
      <c r="C578"/>
      <c r="D578"/>
    </row>
    <row r="579" spans="2:4" hidden="1" x14ac:dyDescent="0.35">
      <c r="B579" s="57"/>
      <c r="C579"/>
      <c r="D579"/>
    </row>
    <row r="580" spans="2:4" hidden="1" x14ac:dyDescent="0.35">
      <c r="B580" s="57"/>
      <c r="C580"/>
      <c r="D580"/>
    </row>
    <row r="581" spans="2:4" hidden="1" x14ac:dyDescent="0.35">
      <c r="B581" s="57"/>
      <c r="C581"/>
      <c r="D581"/>
    </row>
    <row r="582" spans="2:4" hidden="1" x14ac:dyDescent="0.35">
      <c r="B582" s="57"/>
      <c r="C582"/>
      <c r="D582"/>
    </row>
    <row r="583" spans="2:4" hidden="1" x14ac:dyDescent="0.35">
      <c r="B583" s="57"/>
      <c r="C583"/>
      <c r="D583"/>
    </row>
    <row r="584" spans="2:4" hidden="1" x14ac:dyDescent="0.35">
      <c r="B584" s="57"/>
      <c r="C584"/>
      <c r="D584"/>
    </row>
    <row r="585" spans="2:4" hidden="1" x14ac:dyDescent="0.35">
      <c r="B585" s="57"/>
      <c r="C585"/>
      <c r="D585"/>
    </row>
    <row r="586" spans="2:4" hidden="1" x14ac:dyDescent="0.35">
      <c r="B586" s="57"/>
      <c r="C586"/>
      <c r="D586"/>
    </row>
    <row r="587" spans="2:4" hidden="1" x14ac:dyDescent="0.35">
      <c r="B587" s="57"/>
      <c r="C587"/>
      <c r="D587"/>
    </row>
    <row r="588" spans="2:4" hidden="1" x14ac:dyDescent="0.35">
      <c r="B588" s="57"/>
      <c r="C588"/>
      <c r="D588"/>
    </row>
    <row r="589" spans="2:4" hidden="1" x14ac:dyDescent="0.35">
      <c r="B589" s="57"/>
      <c r="C589"/>
      <c r="D589"/>
    </row>
    <row r="590" spans="2:4" hidden="1" x14ac:dyDescent="0.35">
      <c r="B590" s="57"/>
      <c r="C590"/>
      <c r="D590"/>
    </row>
    <row r="591" spans="2:4" hidden="1" x14ac:dyDescent="0.35">
      <c r="B591" s="57"/>
      <c r="C591"/>
      <c r="D591"/>
    </row>
    <row r="592" spans="2:4" hidden="1" x14ac:dyDescent="0.35">
      <c r="B592" s="57"/>
      <c r="C592"/>
      <c r="D592"/>
    </row>
    <row r="593" spans="2:4" hidden="1" x14ac:dyDescent="0.35">
      <c r="B593" s="57"/>
      <c r="C593"/>
      <c r="D593"/>
    </row>
    <row r="594" spans="2:4" hidden="1" x14ac:dyDescent="0.35">
      <c r="B594" s="57"/>
      <c r="C594"/>
      <c r="D594"/>
    </row>
    <row r="595" spans="2:4" hidden="1" x14ac:dyDescent="0.35">
      <c r="B595" s="57"/>
      <c r="C595"/>
      <c r="D595"/>
    </row>
    <row r="596" spans="2:4" hidden="1" x14ac:dyDescent="0.35">
      <c r="B596" s="57"/>
      <c r="C596"/>
      <c r="D596"/>
    </row>
    <row r="597" spans="2:4" hidden="1" x14ac:dyDescent="0.35">
      <c r="B597" s="57"/>
      <c r="C597"/>
      <c r="D597"/>
    </row>
    <row r="598" spans="2:4" hidden="1" x14ac:dyDescent="0.35">
      <c r="B598" s="57"/>
      <c r="C598"/>
      <c r="D598"/>
    </row>
    <row r="599" spans="2:4" hidden="1" x14ac:dyDescent="0.35">
      <c r="B599" s="57"/>
      <c r="C599"/>
      <c r="D599"/>
    </row>
    <row r="600" spans="2:4" hidden="1" x14ac:dyDescent="0.35">
      <c r="B600" s="57"/>
      <c r="C600"/>
      <c r="D600"/>
    </row>
    <row r="601" spans="2:4" hidden="1" x14ac:dyDescent="0.35">
      <c r="B601" s="57"/>
      <c r="C601"/>
      <c r="D601"/>
    </row>
    <row r="602" spans="2:4" hidden="1" x14ac:dyDescent="0.35">
      <c r="B602" s="57"/>
      <c r="C602"/>
      <c r="D602"/>
    </row>
    <row r="603" spans="2:4" hidden="1" x14ac:dyDescent="0.35">
      <c r="B603" s="57"/>
      <c r="C603"/>
      <c r="D603"/>
    </row>
    <row r="604" spans="2:4" hidden="1" x14ac:dyDescent="0.35">
      <c r="B604" s="57"/>
      <c r="C604"/>
      <c r="D604"/>
    </row>
    <row r="605" spans="2:4" hidden="1" x14ac:dyDescent="0.35">
      <c r="B605" s="57"/>
      <c r="C605"/>
      <c r="D605"/>
    </row>
    <row r="606" spans="2:4" hidden="1" x14ac:dyDescent="0.35">
      <c r="B606" s="57"/>
      <c r="C606"/>
      <c r="D606"/>
    </row>
    <row r="607" spans="2:4" hidden="1" x14ac:dyDescent="0.35">
      <c r="B607" s="57"/>
      <c r="C607"/>
      <c r="D607"/>
    </row>
    <row r="608" spans="2:4" hidden="1" x14ac:dyDescent="0.35">
      <c r="B608" s="57"/>
      <c r="C608"/>
      <c r="D608"/>
    </row>
    <row r="609" spans="2:4" hidden="1" x14ac:dyDescent="0.35">
      <c r="B609" s="57"/>
      <c r="C609"/>
      <c r="D609"/>
    </row>
    <row r="610" spans="2:4" hidden="1" x14ac:dyDescent="0.35">
      <c r="B610" s="57"/>
      <c r="C610"/>
      <c r="D610"/>
    </row>
    <row r="611" spans="2:4" hidden="1" x14ac:dyDescent="0.35">
      <c r="B611" s="57"/>
      <c r="C611"/>
      <c r="D611"/>
    </row>
    <row r="612" spans="2:4" hidden="1" x14ac:dyDescent="0.35">
      <c r="B612" s="57"/>
      <c r="C612"/>
      <c r="D612"/>
    </row>
    <row r="613" spans="2:4" hidden="1" x14ac:dyDescent="0.35">
      <c r="B613" s="57"/>
      <c r="C613"/>
      <c r="D613"/>
    </row>
    <row r="614" spans="2:4" hidden="1" x14ac:dyDescent="0.35">
      <c r="B614" s="57"/>
      <c r="C614"/>
      <c r="D614"/>
    </row>
    <row r="615" spans="2:4" hidden="1" x14ac:dyDescent="0.35">
      <c r="B615" s="57"/>
      <c r="C615"/>
      <c r="D615"/>
    </row>
    <row r="616" spans="2:4" hidden="1" x14ac:dyDescent="0.35">
      <c r="B616" s="57"/>
      <c r="C616"/>
      <c r="D616"/>
    </row>
    <row r="617" spans="2:4" hidden="1" x14ac:dyDescent="0.35">
      <c r="B617" s="57"/>
      <c r="C617"/>
      <c r="D617"/>
    </row>
    <row r="618" spans="2:4" hidden="1" x14ac:dyDescent="0.35">
      <c r="B618" s="57"/>
      <c r="C618"/>
      <c r="D618"/>
    </row>
    <row r="619" spans="2:4" hidden="1" x14ac:dyDescent="0.35">
      <c r="B619" s="57"/>
      <c r="C619"/>
      <c r="D619"/>
    </row>
    <row r="620" spans="2:4" hidden="1" x14ac:dyDescent="0.35">
      <c r="B620" s="57"/>
      <c r="C620"/>
      <c r="D620"/>
    </row>
    <row r="621" spans="2:4" hidden="1" x14ac:dyDescent="0.35">
      <c r="B621" s="57"/>
      <c r="C621"/>
      <c r="D621"/>
    </row>
    <row r="622" spans="2:4" hidden="1" x14ac:dyDescent="0.35">
      <c r="B622" s="57"/>
      <c r="C622"/>
      <c r="D622"/>
    </row>
    <row r="623" spans="2:4" hidden="1" x14ac:dyDescent="0.35">
      <c r="B623" s="57"/>
      <c r="C623"/>
      <c r="D623"/>
    </row>
    <row r="624" spans="2:4" hidden="1" x14ac:dyDescent="0.35">
      <c r="B624" s="57"/>
      <c r="C624"/>
      <c r="D624"/>
    </row>
    <row r="625" spans="2:4" hidden="1" x14ac:dyDescent="0.35">
      <c r="B625" s="57"/>
      <c r="C625"/>
      <c r="D625"/>
    </row>
    <row r="626" spans="2:4" hidden="1" x14ac:dyDescent="0.35">
      <c r="B626" s="57"/>
      <c r="C626"/>
      <c r="D626"/>
    </row>
    <row r="627" spans="2:4" hidden="1" x14ac:dyDescent="0.35">
      <c r="B627" s="57"/>
      <c r="C627"/>
      <c r="D627"/>
    </row>
    <row r="628" spans="2:4" hidden="1" x14ac:dyDescent="0.35">
      <c r="B628" s="57"/>
      <c r="C628"/>
      <c r="D628"/>
    </row>
    <row r="629" spans="2:4" hidden="1" x14ac:dyDescent="0.35">
      <c r="B629" s="57"/>
      <c r="C629"/>
      <c r="D629"/>
    </row>
    <row r="630" spans="2:4" hidden="1" x14ac:dyDescent="0.35">
      <c r="B630" s="57"/>
      <c r="C630"/>
      <c r="D630"/>
    </row>
    <row r="631" spans="2:4" hidden="1" x14ac:dyDescent="0.35">
      <c r="B631" s="57"/>
      <c r="C631"/>
      <c r="D631"/>
    </row>
    <row r="632" spans="2:4" hidden="1" x14ac:dyDescent="0.35">
      <c r="B632" s="57"/>
      <c r="C632"/>
      <c r="D632"/>
    </row>
    <row r="633" spans="2:4" hidden="1" x14ac:dyDescent="0.35">
      <c r="B633" s="57"/>
      <c r="C633"/>
      <c r="D633"/>
    </row>
    <row r="634" spans="2:4" hidden="1" x14ac:dyDescent="0.35">
      <c r="B634" s="57"/>
      <c r="C634"/>
      <c r="D634"/>
    </row>
    <row r="635" spans="2:4" hidden="1" x14ac:dyDescent="0.35">
      <c r="B635" s="57"/>
      <c r="C635"/>
      <c r="D635"/>
    </row>
    <row r="636" spans="2:4" hidden="1" x14ac:dyDescent="0.35">
      <c r="B636" s="57"/>
      <c r="C636"/>
      <c r="D636"/>
    </row>
    <row r="637" spans="2:4" hidden="1" x14ac:dyDescent="0.35">
      <c r="B637" s="57"/>
      <c r="C637"/>
      <c r="D637"/>
    </row>
    <row r="638" spans="2:4" hidden="1" x14ac:dyDescent="0.35">
      <c r="B638" s="57"/>
      <c r="C638"/>
      <c r="D638"/>
    </row>
    <row r="639" spans="2:4" hidden="1" x14ac:dyDescent="0.35">
      <c r="B639" s="57"/>
      <c r="C639"/>
      <c r="D639"/>
    </row>
    <row r="640" spans="2:4" hidden="1" x14ac:dyDescent="0.35">
      <c r="B640" s="57"/>
      <c r="C640"/>
      <c r="D640"/>
    </row>
    <row r="641" spans="2:4" hidden="1" x14ac:dyDescent="0.35">
      <c r="B641" s="57"/>
      <c r="C641"/>
      <c r="D641"/>
    </row>
    <row r="642" spans="2:4" hidden="1" x14ac:dyDescent="0.35">
      <c r="B642" s="57"/>
      <c r="C642"/>
      <c r="D642"/>
    </row>
    <row r="643" spans="2:4" hidden="1" x14ac:dyDescent="0.35">
      <c r="B643" s="57"/>
      <c r="C643"/>
      <c r="D643"/>
    </row>
    <row r="644" spans="2:4" hidden="1" x14ac:dyDescent="0.35">
      <c r="B644" s="57"/>
      <c r="C644"/>
      <c r="D644"/>
    </row>
    <row r="645" spans="2:4" hidden="1" x14ac:dyDescent="0.35">
      <c r="B645" s="57"/>
      <c r="C645"/>
      <c r="D645"/>
    </row>
    <row r="646" spans="2:4" hidden="1" x14ac:dyDescent="0.35">
      <c r="B646" s="57"/>
      <c r="C646"/>
      <c r="D646"/>
    </row>
    <row r="647" spans="2:4" hidden="1" x14ac:dyDescent="0.35">
      <c r="B647" s="57"/>
      <c r="C647"/>
      <c r="D647"/>
    </row>
    <row r="648" spans="2:4" hidden="1" x14ac:dyDescent="0.35">
      <c r="B648" s="57"/>
      <c r="C648"/>
      <c r="D648"/>
    </row>
    <row r="649" spans="2:4" hidden="1" x14ac:dyDescent="0.35">
      <c r="B649" s="57"/>
      <c r="C649"/>
      <c r="D649"/>
    </row>
    <row r="650" spans="2:4" hidden="1" x14ac:dyDescent="0.35">
      <c r="B650" s="57"/>
      <c r="C650"/>
      <c r="D650"/>
    </row>
    <row r="651" spans="2:4" hidden="1" x14ac:dyDescent="0.35">
      <c r="B651" s="57"/>
      <c r="C651"/>
      <c r="D651"/>
    </row>
    <row r="652" spans="2:4" hidden="1" x14ac:dyDescent="0.35">
      <c r="B652" s="57"/>
      <c r="C652"/>
      <c r="D652"/>
    </row>
    <row r="653" spans="2:4" hidden="1" x14ac:dyDescent="0.35">
      <c r="B653" s="57"/>
      <c r="C653"/>
      <c r="D653"/>
    </row>
    <row r="654" spans="2:4" hidden="1" x14ac:dyDescent="0.35">
      <c r="B654" s="57"/>
      <c r="C654"/>
      <c r="D654"/>
    </row>
    <row r="655" spans="2:4" hidden="1" x14ac:dyDescent="0.35">
      <c r="B655" s="57"/>
      <c r="C655"/>
      <c r="D655"/>
    </row>
    <row r="656" spans="2:4" hidden="1" x14ac:dyDescent="0.35">
      <c r="B656" s="57"/>
      <c r="C656"/>
      <c r="D656"/>
    </row>
    <row r="657" spans="2:4" hidden="1" x14ac:dyDescent="0.35">
      <c r="B657" s="57"/>
      <c r="C657"/>
      <c r="D657"/>
    </row>
    <row r="658" spans="2:4" hidden="1" x14ac:dyDescent="0.35">
      <c r="B658" s="57"/>
      <c r="C658"/>
      <c r="D658"/>
    </row>
    <row r="659" spans="2:4" hidden="1" x14ac:dyDescent="0.35">
      <c r="B659" s="57"/>
      <c r="C659"/>
      <c r="D659"/>
    </row>
    <row r="660" spans="2:4" hidden="1" x14ac:dyDescent="0.35">
      <c r="B660" s="57"/>
      <c r="C660"/>
      <c r="D660"/>
    </row>
    <row r="661" spans="2:4" hidden="1" x14ac:dyDescent="0.35">
      <c r="B661" s="57"/>
      <c r="C661"/>
      <c r="D661"/>
    </row>
    <row r="662" spans="2:4" hidden="1" x14ac:dyDescent="0.35">
      <c r="B662" s="57"/>
      <c r="C662"/>
      <c r="D662"/>
    </row>
    <row r="663" spans="2:4" hidden="1" x14ac:dyDescent="0.35">
      <c r="B663" s="57"/>
      <c r="C663"/>
      <c r="D663"/>
    </row>
    <row r="664" spans="2:4" hidden="1" x14ac:dyDescent="0.35">
      <c r="B664" s="57"/>
      <c r="C664"/>
      <c r="D664"/>
    </row>
    <row r="665" spans="2:4" hidden="1" x14ac:dyDescent="0.35">
      <c r="B665" s="57"/>
      <c r="C665"/>
      <c r="D665"/>
    </row>
    <row r="666" spans="2:4" hidden="1" x14ac:dyDescent="0.35">
      <c r="B666" s="57"/>
      <c r="C666"/>
      <c r="D666"/>
    </row>
    <row r="667" spans="2:4" hidden="1" x14ac:dyDescent="0.35">
      <c r="B667" s="57"/>
      <c r="C667"/>
      <c r="D667"/>
    </row>
    <row r="668" spans="2:4" hidden="1" x14ac:dyDescent="0.35">
      <c r="B668" s="57"/>
      <c r="C668"/>
      <c r="D668"/>
    </row>
    <row r="669" spans="2:4" hidden="1" x14ac:dyDescent="0.35">
      <c r="B669" s="57"/>
      <c r="C669"/>
      <c r="D669"/>
    </row>
    <row r="670" spans="2:4" hidden="1" x14ac:dyDescent="0.35">
      <c r="B670" s="57"/>
      <c r="C670"/>
      <c r="D670"/>
    </row>
    <row r="671" spans="2:4" hidden="1" x14ac:dyDescent="0.35">
      <c r="B671" s="57"/>
      <c r="C671"/>
      <c r="D671"/>
    </row>
    <row r="672" spans="2:4" hidden="1" x14ac:dyDescent="0.35">
      <c r="B672" s="57"/>
      <c r="C672"/>
      <c r="D672"/>
    </row>
    <row r="673" spans="2:4" hidden="1" x14ac:dyDescent="0.35">
      <c r="B673" s="57"/>
      <c r="C673"/>
      <c r="D673"/>
    </row>
    <row r="674" spans="2:4" hidden="1" x14ac:dyDescent="0.35">
      <c r="B674" s="57"/>
      <c r="C674"/>
      <c r="D674"/>
    </row>
    <row r="675" spans="2:4" hidden="1" x14ac:dyDescent="0.35">
      <c r="B675" s="57"/>
      <c r="C675"/>
      <c r="D675"/>
    </row>
    <row r="676" spans="2:4" hidden="1" x14ac:dyDescent="0.35">
      <c r="B676" s="57"/>
      <c r="C676"/>
      <c r="D676"/>
    </row>
    <row r="677" spans="2:4" hidden="1" x14ac:dyDescent="0.35">
      <c r="B677" s="57"/>
      <c r="C677"/>
      <c r="D677"/>
    </row>
    <row r="678" spans="2:4" hidden="1" x14ac:dyDescent="0.35">
      <c r="B678" s="57"/>
      <c r="C678"/>
      <c r="D678"/>
    </row>
    <row r="679" spans="2:4" hidden="1" x14ac:dyDescent="0.35">
      <c r="B679" s="57"/>
      <c r="C679"/>
      <c r="D679"/>
    </row>
    <row r="680" spans="2:4" hidden="1" x14ac:dyDescent="0.35">
      <c r="B680" s="57"/>
      <c r="C680"/>
      <c r="D680"/>
    </row>
    <row r="681" spans="2:4" hidden="1" x14ac:dyDescent="0.35">
      <c r="B681" s="57"/>
      <c r="C681"/>
      <c r="D681"/>
    </row>
    <row r="682" spans="2:4" hidden="1" x14ac:dyDescent="0.35">
      <c r="B682" s="57"/>
      <c r="C682"/>
      <c r="D682"/>
    </row>
    <row r="683" spans="2:4" hidden="1" x14ac:dyDescent="0.35">
      <c r="B683" s="57"/>
      <c r="C683"/>
      <c r="D683"/>
    </row>
    <row r="684" spans="2:4" hidden="1" x14ac:dyDescent="0.35">
      <c r="B684" s="57"/>
      <c r="C684"/>
      <c r="D684"/>
    </row>
    <row r="685" spans="2:4" hidden="1" x14ac:dyDescent="0.35">
      <c r="B685" s="57"/>
      <c r="C685"/>
      <c r="D685"/>
    </row>
    <row r="686" spans="2:4" hidden="1" x14ac:dyDescent="0.35">
      <c r="B686" s="57"/>
      <c r="C686"/>
      <c r="D686"/>
    </row>
    <row r="687" spans="2:4" hidden="1" x14ac:dyDescent="0.35">
      <c r="B687" s="57"/>
      <c r="C687"/>
      <c r="D687"/>
    </row>
    <row r="688" spans="2:4" hidden="1" x14ac:dyDescent="0.35">
      <c r="B688" s="57"/>
      <c r="C688"/>
      <c r="D688"/>
    </row>
    <row r="689" spans="2:4" hidden="1" x14ac:dyDescent="0.35">
      <c r="B689" s="57"/>
      <c r="C689"/>
      <c r="D689"/>
    </row>
    <row r="690" spans="2:4" hidden="1" x14ac:dyDescent="0.35">
      <c r="B690" s="57"/>
      <c r="C690"/>
      <c r="D690"/>
    </row>
    <row r="691" spans="2:4" hidden="1" x14ac:dyDescent="0.35">
      <c r="B691" s="57"/>
      <c r="C691"/>
      <c r="D691"/>
    </row>
    <row r="692" spans="2:4" hidden="1" x14ac:dyDescent="0.35">
      <c r="B692" s="57"/>
      <c r="C692"/>
      <c r="D692"/>
    </row>
    <row r="693" spans="2:4" hidden="1" x14ac:dyDescent="0.35">
      <c r="B693" s="57"/>
      <c r="C693"/>
      <c r="D693"/>
    </row>
    <row r="694" spans="2:4" hidden="1" x14ac:dyDescent="0.35">
      <c r="B694" s="57"/>
      <c r="C694"/>
      <c r="D694"/>
    </row>
    <row r="695" spans="2:4" hidden="1" x14ac:dyDescent="0.35">
      <c r="B695" s="57"/>
      <c r="C695"/>
      <c r="D695"/>
    </row>
    <row r="696" spans="2:4" hidden="1" x14ac:dyDescent="0.35">
      <c r="B696" s="57"/>
      <c r="C696"/>
      <c r="D696"/>
    </row>
    <row r="697" spans="2:4" hidden="1" x14ac:dyDescent="0.35">
      <c r="B697" s="57"/>
      <c r="C697"/>
      <c r="D697"/>
    </row>
    <row r="698" spans="2:4" hidden="1" x14ac:dyDescent="0.35">
      <c r="B698" s="57"/>
      <c r="C698"/>
      <c r="D698"/>
    </row>
    <row r="699" spans="2:4" hidden="1" x14ac:dyDescent="0.35">
      <c r="B699" s="57"/>
      <c r="C699"/>
      <c r="D699"/>
    </row>
    <row r="700" spans="2:4" hidden="1" x14ac:dyDescent="0.35">
      <c r="B700" s="57"/>
      <c r="C700"/>
      <c r="D700"/>
    </row>
    <row r="701" spans="2:4" hidden="1" x14ac:dyDescent="0.35">
      <c r="B701" s="57"/>
      <c r="C701"/>
      <c r="D701"/>
    </row>
    <row r="702" spans="2:4" hidden="1" x14ac:dyDescent="0.35">
      <c r="B702" s="57"/>
      <c r="C702"/>
      <c r="D702"/>
    </row>
    <row r="703" spans="2:4" hidden="1" x14ac:dyDescent="0.35">
      <c r="B703" s="57"/>
      <c r="C703"/>
      <c r="D703"/>
    </row>
    <row r="704" spans="2:4" hidden="1" x14ac:dyDescent="0.35">
      <c r="B704" s="57"/>
      <c r="C704"/>
      <c r="D704"/>
    </row>
    <row r="705" spans="2:4" hidden="1" x14ac:dyDescent="0.35">
      <c r="B705" s="57"/>
      <c r="C705"/>
      <c r="D705"/>
    </row>
    <row r="706" spans="2:4" hidden="1" x14ac:dyDescent="0.35">
      <c r="B706" s="57"/>
      <c r="C706"/>
      <c r="D706"/>
    </row>
    <row r="707" spans="2:4" hidden="1" x14ac:dyDescent="0.35">
      <c r="B707" s="57"/>
      <c r="C707"/>
      <c r="D707"/>
    </row>
    <row r="708" spans="2:4" hidden="1" x14ac:dyDescent="0.35">
      <c r="B708" s="57"/>
      <c r="C708"/>
      <c r="D708"/>
    </row>
    <row r="709" spans="2:4" hidden="1" x14ac:dyDescent="0.35">
      <c r="B709" s="57"/>
      <c r="C709"/>
      <c r="D709"/>
    </row>
    <row r="710" spans="2:4" hidden="1" x14ac:dyDescent="0.35">
      <c r="B710" s="57"/>
      <c r="C710"/>
      <c r="D710"/>
    </row>
    <row r="711" spans="2:4" hidden="1" x14ac:dyDescent="0.35">
      <c r="B711" s="57"/>
      <c r="C711"/>
      <c r="D711"/>
    </row>
    <row r="712" spans="2:4" hidden="1" x14ac:dyDescent="0.35">
      <c r="B712" s="57"/>
      <c r="C712"/>
      <c r="D712"/>
    </row>
    <row r="713" spans="2:4" hidden="1" x14ac:dyDescent="0.35">
      <c r="B713" s="57"/>
      <c r="C713"/>
      <c r="D713"/>
    </row>
    <row r="714" spans="2:4" hidden="1" x14ac:dyDescent="0.35">
      <c r="B714" s="57"/>
      <c r="C714"/>
      <c r="D714"/>
    </row>
    <row r="715" spans="2:4" hidden="1" x14ac:dyDescent="0.35">
      <c r="B715" s="57"/>
      <c r="C715"/>
      <c r="D715"/>
    </row>
    <row r="716" spans="2:4" hidden="1" x14ac:dyDescent="0.35">
      <c r="B716" s="57"/>
      <c r="C716"/>
      <c r="D716"/>
    </row>
    <row r="717" spans="2:4" hidden="1" x14ac:dyDescent="0.35">
      <c r="B717" s="57"/>
      <c r="C717"/>
      <c r="D717"/>
    </row>
    <row r="718" spans="2:4" hidden="1" x14ac:dyDescent="0.35">
      <c r="B718" s="57"/>
      <c r="C718"/>
      <c r="D718"/>
    </row>
    <row r="719" spans="2:4" hidden="1" x14ac:dyDescent="0.35">
      <c r="B719" s="57"/>
      <c r="C719"/>
      <c r="D719"/>
    </row>
    <row r="720" spans="2:4" hidden="1" x14ac:dyDescent="0.35">
      <c r="B720" s="57"/>
      <c r="C720"/>
      <c r="D720"/>
    </row>
    <row r="721" spans="2:4" hidden="1" x14ac:dyDescent="0.35">
      <c r="B721" s="57"/>
      <c r="C721"/>
      <c r="D721"/>
    </row>
    <row r="722" spans="2:4" hidden="1" x14ac:dyDescent="0.35">
      <c r="B722" s="57"/>
      <c r="C722"/>
      <c r="D722"/>
    </row>
    <row r="723" spans="2:4" hidden="1" x14ac:dyDescent="0.35">
      <c r="B723" s="57"/>
      <c r="C723"/>
      <c r="D723"/>
    </row>
    <row r="724" spans="2:4" hidden="1" x14ac:dyDescent="0.35">
      <c r="B724" s="57"/>
      <c r="C724"/>
      <c r="D724"/>
    </row>
    <row r="725" spans="2:4" hidden="1" x14ac:dyDescent="0.35">
      <c r="B725" s="57"/>
      <c r="C725"/>
      <c r="D725"/>
    </row>
    <row r="726" spans="2:4" hidden="1" x14ac:dyDescent="0.35">
      <c r="B726" s="57"/>
      <c r="C726"/>
      <c r="D726"/>
    </row>
    <row r="727" spans="2:4" hidden="1" x14ac:dyDescent="0.35">
      <c r="B727" s="57"/>
      <c r="C727"/>
      <c r="D727"/>
    </row>
    <row r="728" spans="2:4" hidden="1" x14ac:dyDescent="0.35">
      <c r="B728" s="57"/>
      <c r="C728"/>
      <c r="D728"/>
    </row>
    <row r="729" spans="2:4" hidden="1" x14ac:dyDescent="0.35">
      <c r="B729" s="57"/>
      <c r="C729"/>
      <c r="D729"/>
    </row>
    <row r="730" spans="2:4" hidden="1" x14ac:dyDescent="0.35">
      <c r="B730" s="57"/>
      <c r="C730"/>
      <c r="D730"/>
    </row>
    <row r="731" spans="2:4" hidden="1" x14ac:dyDescent="0.35">
      <c r="B731" s="57"/>
      <c r="C731"/>
      <c r="D731"/>
    </row>
    <row r="732" spans="2:4" hidden="1" x14ac:dyDescent="0.35">
      <c r="B732" s="57"/>
      <c r="C732"/>
      <c r="D732"/>
    </row>
    <row r="733" spans="2:4" hidden="1" x14ac:dyDescent="0.35">
      <c r="B733" s="57"/>
      <c r="C733"/>
      <c r="D733"/>
    </row>
    <row r="734" spans="2:4" hidden="1" x14ac:dyDescent="0.35">
      <c r="B734" s="57"/>
      <c r="C734"/>
      <c r="D734"/>
    </row>
    <row r="735" spans="2:4" hidden="1" x14ac:dyDescent="0.35">
      <c r="B735" s="57"/>
      <c r="C735"/>
      <c r="D735"/>
    </row>
    <row r="736" spans="2:4" hidden="1" x14ac:dyDescent="0.35">
      <c r="B736" s="57"/>
      <c r="C736"/>
      <c r="D736"/>
    </row>
    <row r="737" spans="2:4" hidden="1" x14ac:dyDescent="0.35">
      <c r="B737" s="57"/>
      <c r="C737"/>
      <c r="D737"/>
    </row>
    <row r="738" spans="2:4" hidden="1" x14ac:dyDescent="0.35">
      <c r="B738" s="57"/>
      <c r="C738"/>
      <c r="D738"/>
    </row>
    <row r="739" spans="2:4" hidden="1" x14ac:dyDescent="0.35">
      <c r="B739" s="57"/>
      <c r="C739"/>
      <c r="D739"/>
    </row>
    <row r="740" spans="2:4" hidden="1" x14ac:dyDescent="0.35">
      <c r="B740" s="57"/>
      <c r="C740"/>
      <c r="D740"/>
    </row>
    <row r="741" spans="2:4" hidden="1" x14ac:dyDescent="0.35">
      <c r="B741" s="57"/>
      <c r="C741"/>
      <c r="D741"/>
    </row>
    <row r="742" spans="2:4" hidden="1" x14ac:dyDescent="0.35">
      <c r="B742" s="57"/>
      <c r="C742"/>
      <c r="D742"/>
    </row>
    <row r="743" spans="2:4" hidden="1" x14ac:dyDescent="0.35">
      <c r="B743" s="57"/>
      <c r="C743"/>
      <c r="D743"/>
    </row>
    <row r="744" spans="2:4" hidden="1" x14ac:dyDescent="0.35">
      <c r="B744" s="57"/>
      <c r="C744"/>
      <c r="D744"/>
    </row>
    <row r="745" spans="2:4" hidden="1" x14ac:dyDescent="0.35">
      <c r="B745" s="57"/>
      <c r="C745"/>
      <c r="D745"/>
    </row>
    <row r="746" spans="2:4" hidden="1" x14ac:dyDescent="0.35">
      <c r="B746" s="57"/>
      <c r="C746"/>
      <c r="D746"/>
    </row>
    <row r="747" spans="2:4" hidden="1" x14ac:dyDescent="0.35">
      <c r="B747" s="57"/>
      <c r="C747"/>
      <c r="D747"/>
    </row>
    <row r="748" spans="2:4" hidden="1" x14ac:dyDescent="0.35">
      <c r="B748" s="57"/>
      <c r="C748"/>
      <c r="D748"/>
    </row>
    <row r="749" spans="2:4" hidden="1" x14ac:dyDescent="0.35">
      <c r="B749" s="57"/>
      <c r="C749"/>
      <c r="D749"/>
    </row>
    <row r="750" spans="2:4" hidden="1" x14ac:dyDescent="0.35">
      <c r="B750" s="57"/>
      <c r="C750"/>
      <c r="D750"/>
    </row>
    <row r="751" spans="2:4" hidden="1" x14ac:dyDescent="0.35">
      <c r="B751" s="57"/>
      <c r="C751"/>
      <c r="D751"/>
    </row>
    <row r="752" spans="2:4" hidden="1" x14ac:dyDescent="0.35">
      <c r="B752" s="57"/>
      <c r="C752"/>
      <c r="D752"/>
    </row>
    <row r="753" spans="2:4" hidden="1" x14ac:dyDescent="0.35">
      <c r="B753" s="57"/>
      <c r="C753"/>
      <c r="D753"/>
    </row>
    <row r="754" spans="2:4" hidden="1" x14ac:dyDescent="0.35">
      <c r="B754" s="57"/>
      <c r="C754"/>
      <c r="D754"/>
    </row>
    <row r="755" spans="2:4" hidden="1" x14ac:dyDescent="0.35">
      <c r="B755" s="57"/>
      <c r="C755"/>
      <c r="D755"/>
    </row>
    <row r="756" spans="2:4" hidden="1" x14ac:dyDescent="0.35">
      <c r="B756" s="57"/>
      <c r="C756"/>
      <c r="D756"/>
    </row>
    <row r="757" spans="2:4" hidden="1" x14ac:dyDescent="0.35">
      <c r="B757" s="57"/>
      <c r="C757"/>
      <c r="D757"/>
    </row>
    <row r="758" spans="2:4" hidden="1" x14ac:dyDescent="0.35">
      <c r="B758" s="57"/>
      <c r="C758"/>
      <c r="D758"/>
    </row>
    <row r="759" spans="2:4" hidden="1" x14ac:dyDescent="0.35">
      <c r="B759" s="57"/>
      <c r="C759"/>
      <c r="D759"/>
    </row>
    <row r="760" spans="2:4" hidden="1" x14ac:dyDescent="0.35">
      <c r="B760" s="57"/>
      <c r="C760"/>
      <c r="D760"/>
    </row>
    <row r="761" spans="2:4" hidden="1" x14ac:dyDescent="0.35">
      <c r="B761" s="57"/>
      <c r="C761"/>
      <c r="D761"/>
    </row>
    <row r="762" spans="2:4" hidden="1" x14ac:dyDescent="0.35">
      <c r="B762" s="57"/>
      <c r="C762"/>
      <c r="D762"/>
    </row>
    <row r="763" spans="2:4" hidden="1" x14ac:dyDescent="0.35">
      <c r="B763" s="57"/>
      <c r="C763"/>
      <c r="D763"/>
    </row>
    <row r="764" spans="2:4" hidden="1" x14ac:dyDescent="0.35">
      <c r="B764" s="57"/>
      <c r="C764"/>
      <c r="D764"/>
    </row>
    <row r="765" spans="2:4" hidden="1" x14ac:dyDescent="0.35">
      <c r="B765" s="57"/>
      <c r="C765"/>
      <c r="D765"/>
    </row>
    <row r="766" spans="2:4" hidden="1" x14ac:dyDescent="0.35">
      <c r="B766" s="57"/>
      <c r="C766"/>
      <c r="D766"/>
    </row>
    <row r="767" spans="2:4" hidden="1" x14ac:dyDescent="0.35">
      <c r="B767" s="57"/>
      <c r="C767"/>
      <c r="D767"/>
    </row>
    <row r="768" spans="2:4" hidden="1" x14ac:dyDescent="0.35">
      <c r="B768" s="57"/>
      <c r="C768"/>
      <c r="D768"/>
    </row>
    <row r="769" spans="2:4" hidden="1" x14ac:dyDescent="0.35">
      <c r="B769" s="57"/>
      <c r="C769"/>
      <c r="D769"/>
    </row>
    <row r="770" spans="2:4" hidden="1" x14ac:dyDescent="0.35">
      <c r="B770" s="57"/>
      <c r="C770"/>
      <c r="D770"/>
    </row>
    <row r="771" spans="2:4" hidden="1" x14ac:dyDescent="0.35">
      <c r="B771" s="57"/>
      <c r="C771"/>
      <c r="D771"/>
    </row>
    <row r="772" spans="2:4" hidden="1" x14ac:dyDescent="0.35">
      <c r="B772" s="57"/>
      <c r="C772"/>
      <c r="D772"/>
    </row>
    <row r="773" spans="2:4" hidden="1" x14ac:dyDescent="0.35">
      <c r="B773" s="57"/>
      <c r="C773"/>
      <c r="D773"/>
    </row>
    <row r="774" spans="2:4" hidden="1" x14ac:dyDescent="0.35">
      <c r="B774" s="57"/>
      <c r="C774"/>
      <c r="D774"/>
    </row>
    <row r="775" spans="2:4" hidden="1" x14ac:dyDescent="0.35">
      <c r="B775" s="57"/>
      <c r="C775"/>
      <c r="D775"/>
    </row>
    <row r="776" spans="2:4" hidden="1" x14ac:dyDescent="0.35">
      <c r="B776" s="57"/>
      <c r="C776"/>
      <c r="D776"/>
    </row>
    <row r="777" spans="2:4" hidden="1" x14ac:dyDescent="0.35">
      <c r="B777" s="57"/>
      <c r="C777"/>
      <c r="D777"/>
    </row>
    <row r="778" spans="2:4" hidden="1" x14ac:dyDescent="0.35">
      <c r="B778" s="57"/>
      <c r="C778"/>
      <c r="D778"/>
    </row>
    <row r="779" spans="2:4" hidden="1" x14ac:dyDescent="0.35">
      <c r="B779" s="57"/>
      <c r="C779"/>
      <c r="D779"/>
    </row>
    <row r="780" spans="2:4" hidden="1" x14ac:dyDescent="0.35">
      <c r="B780" s="57"/>
      <c r="C780"/>
      <c r="D780"/>
    </row>
    <row r="781" spans="2:4" hidden="1" x14ac:dyDescent="0.35">
      <c r="B781" s="57"/>
      <c r="C781"/>
      <c r="D781"/>
    </row>
    <row r="782" spans="2:4" hidden="1" x14ac:dyDescent="0.35">
      <c r="B782" s="57"/>
      <c r="C782"/>
      <c r="D782"/>
    </row>
    <row r="783" spans="2:4" hidden="1" x14ac:dyDescent="0.35">
      <c r="B783" s="57"/>
      <c r="C783"/>
      <c r="D783"/>
    </row>
    <row r="784" spans="2:4" hidden="1" x14ac:dyDescent="0.35">
      <c r="B784" s="57"/>
      <c r="C784"/>
      <c r="D784"/>
    </row>
    <row r="785" spans="2:4" hidden="1" x14ac:dyDescent="0.35">
      <c r="B785" s="57"/>
      <c r="C785"/>
      <c r="D785"/>
    </row>
    <row r="786" spans="2:4" hidden="1" x14ac:dyDescent="0.35">
      <c r="B786" s="57"/>
      <c r="C786"/>
      <c r="D786"/>
    </row>
    <row r="787" spans="2:4" hidden="1" x14ac:dyDescent="0.35">
      <c r="B787" s="57"/>
      <c r="C787"/>
      <c r="D787"/>
    </row>
    <row r="788" spans="2:4" hidden="1" x14ac:dyDescent="0.35">
      <c r="B788" s="57"/>
      <c r="C788"/>
      <c r="D788"/>
    </row>
    <row r="789" spans="2:4" hidden="1" x14ac:dyDescent="0.35">
      <c r="B789" s="57"/>
      <c r="C789"/>
      <c r="D789"/>
    </row>
    <row r="790" spans="2:4" hidden="1" x14ac:dyDescent="0.35">
      <c r="B790" s="57"/>
      <c r="C790"/>
      <c r="D790"/>
    </row>
    <row r="791" spans="2:4" hidden="1" x14ac:dyDescent="0.35">
      <c r="B791" s="57"/>
      <c r="C791"/>
      <c r="D791"/>
    </row>
    <row r="792" spans="2:4" hidden="1" x14ac:dyDescent="0.35">
      <c r="B792" s="57"/>
      <c r="C792"/>
      <c r="D792"/>
    </row>
    <row r="793" spans="2:4" hidden="1" x14ac:dyDescent="0.35">
      <c r="B793" s="57"/>
      <c r="C793"/>
      <c r="D793"/>
    </row>
    <row r="794" spans="2:4" hidden="1" x14ac:dyDescent="0.35">
      <c r="B794" s="57"/>
      <c r="C794"/>
      <c r="D794"/>
    </row>
    <row r="795" spans="2:4" hidden="1" x14ac:dyDescent="0.35">
      <c r="B795" s="57"/>
      <c r="C795"/>
      <c r="D795"/>
    </row>
    <row r="796" spans="2:4" hidden="1" x14ac:dyDescent="0.35">
      <c r="B796" s="57"/>
      <c r="C796"/>
      <c r="D796"/>
    </row>
    <row r="797" spans="2:4" hidden="1" x14ac:dyDescent="0.35">
      <c r="B797" s="57"/>
      <c r="C797"/>
      <c r="D797"/>
    </row>
    <row r="798" spans="2:4" hidden="1" x14ac:dyDescent="0.35">
      <c r="B798" s="57"/>
      <c r="C798"/>
      <c r="D798"/>
    </row>
    <row r="799" spans="2:4" hidden="1" x14ac:dyDescent="0.35">
      <c r="B799" s="57"/>
      <c r="C799"/>
      <c r="D799"/>
    </row>
    <row r="800" spans="2:4" hidden="1" x14ac:dyDescent="0.35">
      <c r="B800" s="57"/>
      <c r="C800"/>
      <c r="D800"/>
    </row>
    <row r="801" spans="2:4" hidden="1" x14ac:dyDescent="0.35">
      <c r="B801" s="57"/>
      <c r="C801"/>
      <c r="D801"/>
    </row>
    <row r="802" spans="2:4" hidden="1" x14ac:dyDescent="0.35">
      <c r="B802" s="57"/>
      <c r="C802"/>
      <c r="D802"/>
    </row>
    <row r="803" spans="2:4" hidden="1" x14ac:dyDescent="0.35">
      <c r="B803" s="57"/>
      <c r="C803"/>
      <c r="D803"/>
    </row>
    <row r="804" spans="2:4" hidden="1" x14ac:dyDescent="0.35">
      <c r="B804" s="57"/>
      <c r="C804"/>
      <c r="D804"/>
    </row>
    <row r="805" spans="2:4" hidden="1" x14ac:dyDescent="0.35">
      <c r="B805" s="57"/>
      <c r="C805"/>
      <c r="D805"/>
    </row>
    <row r="806" spans="2:4" hidden="1" x14ac:dyDescent="0.35">
      <c r="B806" s="57"/>
      <c r="C806"/>
      <c r="D806"/>
    </row>
    <row r="807" spans="2:4" hidden="1" x14ac:dyDescent="0.35">
      <c r="B807" s="57"/>
      <c r="C807"/>
      <c r="D807"/>
    </row>
    <row r="808" spans="2:4" hidden="1" x14ac:dyDescent="0.35">
      <c r="B808" s="57"/>
      <c r="C808"/>
      <c r="D808"/>
    </row>
    <row r="809" spans="2:4" hidden="1" x14ac:dyDescent="0.35">
      <c r="B809" s="57"/>
      <c r="C809"/>
      <c r="D809"/>
    </row>
    <row r="810" spans="2:4" hidden="1" x14ac:dyDescent="0.35">
      <c r="B810" s="57"/>
      <c r="C810"/>
      <c r="D810"/>
    </row>
    <row r="811" spans="2:4" hidden="1" x14ac:dyDescent="0.35">
      <c r="B811" s="57"/>
      <c r="C811"/>
      <c r="D811"/>
    </row>
    <row r="812" spans="2:4" hidden="1" x14ac:dyDescent="0.35">
      <c r="B812" s="57"/>
      <c r="C812"/>
      <c r="D812"/>
    </row>
    <row r="813" spans="2:4" hidden="1" x14ac:dyDescent="0.35">
      <c r="B813" s="57"/>
      <c r="C813"/>
      <c r="D813"/>
    </row>
    <row r="814" spans="2:4" hidden="1" x14ac:dyDescent="0.35">
      <c r="B814" s="57"/>
      <c r="C814"/>
      <c r="D814"/>
    </row>
    <row r="815" spans="2:4" hidden="1" x14ac:dyDescent="0.35">
      <c r="B815" s="57"/>
      <c r="C815"/>
      <c r="D815"/>
    </row>
    <row r="816" spans="2:4" hidden="1" x14ac:dyDescent="0.35">
      <c r="B816" s="57"/>
      <c r="C816"/>
      <c r="D816"/>
    </row>
    <row r="817" spans="2:4" hidden="1" x14ac:dyDescent="0.35">
      <c r="B817" s="57"/>
      <c r="C817"/>
      <c r="D817"/>
    </row>
    <row r="818" spans="2:4" hidden="1" x14ac:dyDescent="0.35">
      <c r="B818" s="57"/>
      <c r="C818"/>
      <c r="D818"/>
    </row>
    <row r="819" spans="2:4" hidden="1" x14ac:dyDescent="0.35">
      <c r="B819" s="57"/>
      <c r="C819"/>
      <c r="D819"/>
    </row>
    <row r="820" spans="2:4" hidden="1" x14ac:dyDescent="0.35">
      <c r="B820" s="57"/>
      <c r="C820"/>
      <c r="D820"/>
    </row>
    <row r="821" spans="2:4" hidden="1" x14ac:dyDescent="0.35">
      <c r="B821" s="57"/>
      <c r="C821"/>
      <c r="D821"/>
    </row>
    <row r="822" spans="2:4" hidden="1" x14ac:dyDescent="0.35">
      <c r="B822" s="57"/>
      <c r="C822"/>
      <c r="D822"/>
    </row>
    <row r="823" spans="2:4" hidden="1" x14ac:dyDescent="0.35">
      <c r="B823" s="57"/>
      <c r="C823"/>
      <c r="D823"/>
    </row>
    <row r="824" spans="2:4" hidden="1" x14ac:dyDescent="0.35">
      <c r="B824" s="57"/>
      <c r="C824"/>
      <c r="D824"/>
    </row>
    <row r="825" spans="2:4" hidden="1" x14ac:dyDescent="0.35">
      <c r="B825" s="57"/>
      <c r="C825"/>
      <c r="D825"/>
    </row>
    <row r="826" spans="2:4" hidden="1" x14ac:dyDescent="0.35">
      <c r="B826" s="57"/>
      <c r="C826"/>
      <c r="D826"/>
    </row>
    <row r="827" spans="2:4" hidden="1" x14ac:dyDescent="0.35">
      <c r="B827" s="57"/>
      <c r="C827"/>
      <c r="D827"/>
    </row>
    <row r="828" spans="2:4" hidden="1" x14ac:dyDescent="0.35">
      <c r="B828" s="57"/>
      <c r="C828"/>
      <c r="D828"/>
    </row>
    <row r="829" spans="2:4" hidden="1" x14ac:dyDescent="0.35">
      <c r="B829" s="57"/>
      <c r="C829"/>
      <c r="D829"/>
    </row>
    <row r="830" spans="2:4" hidden="1" x14ac:dyDescent="0.35">
      <c r="B830" s="57"/>
      <c r="C830"/>
      <c r="D830"/>
    </row>
    <row r="831" spans="2:4" hidden="1" x14ac:dyDescent="0.35">
      <c r="B831" s="57"/>
      <c r="C831"/>
      <c r="D831"/>
    </row>
    <row r="832" spans="2:4" hidden="1" x14ac:dyDescent="0.35">
      <c r="B832" s="57"/>
      <c r="C832"/>
      <c r="D832"/>
    </row>
    <row r="833" spans="2:4" hidden="1" x14ac:dyDescent="0.35">
      <c r="B833" s="57"/>
      <c r="C833"/>
      <c r="D833"/>
    </row>
    <row r="834" spans="2:4" hidden="1" x14ac:dyDescent="0.35">
      <c r="B834" s="57"/>
      <c r="C834"/>
      <c r="D834"/>
    </row>
    <row r="835" spans="2:4" hidden="1" x14ac:dyDescent="0.35">
      <c r="B835" s="57"/>
      <c r="C835"/>
      <c r="D835"/>
    </row>
    <row r="836" spans="2:4" hidden="1" x14ac:dyDescent="0.35">
      <c r="B836" s="57"/>
      <c r="C836"/>
      <c r="D836"/>
    </row>
    <row r="837" spans="2:4" hidden="1" x14ac:dyDescent="0.35">
      <c r="B837" s="57"/>
      <c r="C837"/>
      <c r="D837"/>
    </row>
    <row r="838" spans="2:4" hidden="1" x14ac:dyDescent="0.35">
      <c r="B838" s="57"/>
      <c r="C838"/>
      <c r="D838"/>
    </row>
    <row r="839" spans="2:4" hidden="1" x14ac:dyDescent="0.35">
      <c r="B839" s="57"/>
      <c r="C839"/>
      <c r="D839"/>
    </row>
    <row r="840" spans="2:4" hidden="1" x14ac:dyDescent="0.35">
      <c r="B840" s="57"/>
      <c r="C840"/>
      <c r="D840"/>
    </row>
    <row r="841" spans="2:4" hidden="1" x14ac:dyDescent="0.35">
      <c r="B841" s="57"/>
      <c r="C841"/>
      <c r="D841"/>
    </row>
    <row r="842" spans="2:4" hidden="1" x14ac:dyDescent="0.35">
      <c r="B842" s="57"/>
      <c r="C842"/>
      <c r="D842"/>
    </row>
    <row r="843" spans="2:4" hidden="1" x14ac:dyDescent="0.35">
      <c r="B843" s="57"/>
      <c r="C843"/>
      <c r="D843"/>
    </row>
    <row r="844" spans="2:4" hidden="1" x14ac:dyDescent="0.35">
      <c r="B844" s="57"/>
      <c r="C844"/>
      <c r="D844"/>
    </row>
    <row r="845" spans="2:4" hidden="1" x14ac:dyDescent="0.35">
      <c r="B845" s="57"/>
      <c r="C845"/>
      <c r="D845"/>
    </row>
    <row r="846" spans="2:4" hidden="1" x14ac:dyDescent="0.35">
      <c r="B846" s="57"/>
      <c r="C846"/>
      <c r="D846"/>
    </row>
    <row r="847" spans="2:4" hidden="1" x14ac:dyDescent="0.35">
      <c r="B847" s="57"/>
      <c r="C847"/>
      <c r="D847"/>
    </row>
    <row r="848" spans="2:4" hidden="1" x14ac:dyDescent="0.35">
      <c r="B848" s="57"/>
      <c r="C848"/>
      <c r="D848"/>
    </row>
    <row r="849" spans="2:4" hidden="1" x14ac:dyDescent="0.35">
      <c r="B849" s="57"/>
      <c r="C849"/>
      <c r="D849"/>
    </row>
    <row r="850" spans="2:4" hidden="1" x14ac:dyDescent="0.35">
      <c r="B850" s="57"/>
      <c r="C850"/>
      <c r="D850"/>
    </row>
    <row r="851" spans="2:4" hidden="1" x14ac:dyDescent="0.35">
      <c r="B851" s="57"/>
      <c r="C851"/>
      <c r="D851"/>
    </row>
    <row r="852" spans="2:4" hidden="1" x14ac:dyDescent="0.35">
      <c r="B852" s="57"/>
      <c r="C852"/>
      <c r="D852"/>
    </row>
    <row r="853" spans="2:4" hidden="1" x14ac:dyDescent="0.35">
      <c r="B853" s="57"/>
      <c r="C853"/>
      <c r="D853"/>
    </row>
    <row r="854" spans="2:4" hidden="1" x14ac:dyDescent="0.35">
      <c r="B854" s="57"/>
      <c r="C854"/>
      <c r="D854"/>
    </row>
    <row r="855" spans="2:4" hidden="1" x14ac:dyDescent="0.35">
      <c r="B855" s="57"/>
      <c r="C855"/>
      <c r="D855"/>
    </row>
    <row r="856" spans="2:4" hidden="1" x14ac:dyDescent="0.35">
      <c r="B856" s="57"/>
      <c r="C856"/>
      <c r="D856"/>
    </row>
    <row r="857" spans="2:4" hidden="1" x14ac:dyDescent="0.35">
      <c r="B857" s="57"/>
      <c r="C857"/>
      <c r="D857"/>
    </row>
    <row r="858" spans="2:4" hidden="1" x14ac:dyDescent="0.35">
      <c r="B858" s="57"/>
      <c r="C858"/>
      <c r="D858"/>
    </row>
    <row r="859" spans="2:4" hidden="1" x14ac:dyDescent="0.35">
      <c r="B859" s="57"/>
      <c r="C859"/>
      <c r="D859"/>
    </row>
    <row r="860" spans="2:4" hidden="1" x14ac:dyDescent="0.35">
      <c r="B860" s="57"/>
      <c r="C860"/>
      <c r="D860"/>
    </row>
    <row r="861" spans="2:4" hidden="1" x14ac:dyDescent="0.35">
      <c r="B861" s="57"/>
      <c r="C861"/>
      <c r="D861"/>
    </row>
    <row r="862" spans="2:4" hidden="1" x14ac:dyDescent="0.35">
      <c r="B862" s="57"/>
      <c r="C862"/>
      <c r="D862"/>
    </row>
    <row r="863" spans="2:4" hidden="1" x14ac:dyDescent="0.35">
      <c r="B863" s="57"/>
      <c r="C863"/>
      <c r="D863"/>
    </row>
    <row r="864" spans="2:4" hidden="1" x14ac:dyDescent="0.35">
      <c r="B864" s="57"/>
      <c r="C864"/>
      <c r="D864"/>
    </row>
    <row r="865" spans="2:4" hidden="1" x14ac:dyDescent="0.35">
      <c r="B865" s="57"/>
      <c r="C865"/>
      <c r="D865"/>
    </row>
    <row r="866" spans="2:4" hidden="1" x14ac:dyDescent="0.35">
      <c r="B866" s="57"/>
      <c r="C866"/>
      <c r="D866"/>
    </row>
    <row r="867" spans="2:4" hidden="1" x14ac:dyDescent="0.35">
      <c r="B867" s="57"/>
      <c r="C867"/>
      <c r="D867"/>
    </row>
    <row r="868" spans="2:4" hidden="1" x14ac:dyDescent="0.35">
      <c r="B868" s="57"/>
      <c r="C868"/>
      <c r="D868"/>
    </row>
    <row r="869" spans="2:4" hidden="1" x14ac:dyDescent="0.35">
      <c r="B869" s="57"/>
      <c r="C869"/>
      <c r="D869"/>
    </row>
    <row r="870" spans="2:4" hidden="1" x14ac:dyDescent="0.35">
      <c r="B870" s="57"/>
      <c r="C870"/>
      <c r="D870"/>
    </row>
    <row r="871" spans="2:4" hidden="1" x14ac:dyDescent="0.35">
      <c r="B871" s="57"/>
      <c r="C871"/>
      <c r="D871"/>
    </row>
    <row r="872" spans="2:4" hidden="1" x14ac:dyDescent="0.35">
      <c r="B872" s="57"/>
      <c r="C872"/>
      <c r="D872"/>
    </row>
    <row r="873" spans="2:4" hidden="1" x14ac:dyDescent="0.35">
      <c r="B873" s="57"/>
      <c r="C873"/>
      <c r="D873"/>
    </row>
    <row r="874" spans="2:4" hidden="1" x14ac:dyDescent="0.35">
      <c r="B874" s="57"/>
      <c r="C874"/>
      <c r="D874"/>
    </row>
    <row r="875" spans="2:4" hidden="1" x14ac:dyDescent="0.35">
      <c r="B875" s="57"/>
      <c r="C875"/>
      <c r="D875"/>
    </row>
    <row r="876" spans="2:4" hidden="1" x14ac:dyDescent="0.35">
      <c r="B876" s="57"/>
      <c r="C876"/>
      <c r="D876"/>
    </row>
    <row r="877" spans="2:4" hidden="1" x14ac:dyDescent="0.35">
      <c r="B877" s="57"/>
      <c r="C877"/>
      <c r="D877"/>
    </row>
    <row r="878" spans="2:4" hidden="1" x14ac:dyDescent="0.35">
      <c r="B878" s="57"/>
      <c r="C878"/>
      <c r="D878"/>
    </row>
    <row r="879" spans="2:4" hidden="1" x14ac:dyDescent="0.35">
      <c r="B879" s="57"/>
      <c r="C879"/>
      <c r="D879"/>
    </row>
    <row r="880" spans="2:4" hidden="1" x14ac:dyDescent="0.35">
      <c r="B880" s="57"/>
      <c r="C880"/>
      <c r="D880"/>
    </row>
    <row r="881" spans="2:4" hidden="1" x14ac:dyDescent="0.35">
      <c r="B881" s="57"/>
      <c r="C881"/>
      <c r="D881"/>
    </row>
    <row r="882" spans="2:4" hidden="1" x14ac:dyDescent="0.35">
      <c r="B882" s="57"/>
      <c r="C882"/>
      <c r="D882"/>
    </row>
    <row r="883" spans="2:4" hidden="1" x14ac:dyDescent="0.35">
      <c r="B883" s="57"/>
      <c r="C883"/>
      <c r="D883"/>
    </row>
    <row r="884" spans="2:4" hidden="1" x14ac:dyDescent="0.35">
      <c r="B884" s="57"/>
      <c r="C884"/>
      <c r="D884"/>
    </row>
    <row r="885" spans="2:4" hidden="1" x14ac:dyDescent="0.35">
      <c r="B885" s="57"/>
      <c r="C885"/>
      <c r="D885"/>
    </row>
    <row r="886" spans="2:4" hidden="1" x14ac:dyDescent="0.35">
      <c r="B886" s="57"/>
      <c r="C886"/>
      <c r="D886"/>
    </row>
    <row r="887" spans="2:4" hidden="1" x14ac:dyDescent="0.35">
      <c r="B887" s="57"/>
      <c r="C887"/>
      <c r="D887"/>
    </row>
    <row r="888" spans="2:4" hidden="1" x14ac:dyDescent="0.35">
      <c r="B888" s="57"/>
      <c r="C888"/>
      <c r="D888"/>
    </row>
    <row r="889" spans="2:4" hidden="1" x14ac:dyDescent="0.35">
      <c r="B889" s="57"/>
      <c r="C889"/>
      <c r="D889"/>
    </row>
    <row r="890" spans="2:4" hidden="1" x14ac:dyDescent="0.35">
      <c r="B890" s="57"/>
      <c r="C890"/>
      <c r="D890"/>
    </row>
    <row r="891" spans="2:4" hidden="1" x14ac:dyDescent="0.35">
      <c r="B891" s="57"/>
      <c r="C891"/>
      <c r="D891"/>
    </row>
    <row r="892" spans="2:4" hidden="1" x14ac:dyDescent="0.35">
      <c r="B892" s="57"/>
      <c r="C892"/>
      <c r="D892"/>
    </row>
    <row r="893" spans="2:4" hidden="1" x14ac:dyDescent="0.35">
      <c r="B893" s="57"/>
      <c r="C893"/>
      <c r="D893"/>
    </row>
    <row r="894" spans="2:4" hidden="1" x14ac:dyDescent="0.35">
      <c r="B894" s="57"/>
      <c r="C894"/>
      <c r="D894"/>
    </row>
    <row r="895" spans="2:4" hidden="1" x14ac:dyDescent="0.35">
      <c r="B895" s="57"/>
      <c r="C895"/>
      <c r="D895"/>
    </row>
    <row r="896" spans="2:4" hidden="1" x14ac:dyDescent="0.35">
      <c r="B896" s="57"/>
      <c r="C896"/>
      <c r="D896"/>
    </row>
    <row r="897" spans="2:4" hidden="1" x14ac:dyDescent="0.35">
      <c r="B897" s="57"/>
      <c r="C897"/>
      <c r="D897"/>
    </row>
    <row r="898" spans="2:4" hidden="1" x14ac:dyDescent="0.35">
      <c r="B898" s="57"/>
      <c r="C898"/>
      <c r="D898"/>
    </row>
    <row r="899" spans="2:4" hidden="1" x14ac:dyDescent="0.35">
      <c r="B899" s="57"/>
      <c r="C899"/>
      <c r="D899"/>
    </row>
    <row r="900" spans="2:4" hidden="1" x14ac:dyDescent="0.35">
      <c r="B900" s="57"/>
      <c r="C900"/>
      <c r="D900"/>
    </row>
    <row r="901" spans="2:4" hidden="1" x14ac:dyDescent="0.35">
      <c r="B901" s="57"/>
      <c r="C901"/>
      <c r="D901"/>
    </row>
    <row r="902" spans="2:4" hidden="1" x14ac:dyDescent="0.35">
      <c r="B902" s="57"/>
      <c r="C902"/>
      <c r="D902"/>
    </row>
    <row r="903" spans="2:4" hidden="1" x14ac:dyDescent="0.35">
      <c r="B903" s="57"/>
      <c r="C903"/>
      <c r="D903"/>
    </row>
    <row r="904" spans="2:4" hidden="1" x14ac:dyDescent="0.35">
      <c r="B904" s="57"/>
      <c r="C904"/>
      <c r="D904"/>
    </row>
    <row r="905" spans="2:4" hidden="1" x14ac:dyDescent="0.35">
      <c r="B905" s="57"/>
      <c r="C905"/>
      <c r="D905"/>
    </row>
    <row r="906" spans="2:4" hidden="1" x14ac:dyDescent="0.35">
      <c r="B906" s="57"/>
      <c r="C906"/>
      <c r="D906"/>
    </row>
    <row r="907" spans="2:4" hidden="1" x14ac:dyDescent="0.35">
      <c r="B907" s="57"/>
      <c r="C907"/>
      <c r="D907"/>
    </row>
    <row r="908" spans="2:4" hidden="1" x14ac:dyDescent="0.35">
      <c r="B908" s="57"/>
      <c r="C908"/>
      <c r="D908"/>
    </row>
    <row r="909" spans="2:4" hidden="1" x14ac:dyDescent="0.35">
      <c r="B909" s="57"/>
      <c r="C909"/>
      <c r="D909"/>
    </row>
    <row r="910" spans="2:4" hidden="1" x14ac:dyDescent="0.35">
      <c r="B910" s="57"/>
      <c r="C910"/>
      <c r="D910"/>
    </row>
    <row r="911" spans="2:4" hidden="1" x14ac:dyDescent="0.35">
      <c r="B911" s="57"/>
      <c r="C911"/>
      <c r="D911"/>
    </row>
    <row r="912" spans="2:4" hidden="1" x14ac:dyDescent="0.35">
      <c r="B912" s="57"/>
      <c r="C912"/>
      <c r="D912"/>
    </row>
    <row r="913" spans="2:4" hidden="1" x14ac:dyDescent="0.35">
      <c r="B913" s="57"/>
      <c r="C913"/>
      <c r="D913"/>
    </row>
    <row r="914" spans="2:4" hidden="1" x14ac:dyDescent="0.35">
      <c r="B914" s="57"/>
      <c r="C914"/>
      <c r="D914"/>
    </row>
    <row r="915" spans="2:4" hidden="1" x14ac:dyDescent="0.35">
      <c r="B915" s="57"/>
      <c r="C915"/>
      <c r="D915"/>
    </row>
    <row r="916" spans="2:4" hidden="1" x14ac:dyDescent="0.35">
      <c r="B916" s="57"/>
      <c r="C916"/>
      <c r="D916"/>
    </row>
    <row r="917" spans="2:4" hidden="1" x14ac:dyDescent="0.35">
      <c r="B917" s="57"/>
      <c r="C917"/>
      <c r="D917"/>
    </row>
    <row r="918" spans="2:4" hidden="1" x14ac:dyDescent="0.35">
      <c r="B918" s="57"/>
      <c r="C918"/>
      <c r="D918"/>
    </row>
    <row r="919" spans="2:4" hidden="1" x14ac:dyDescent="0.35">
      <c r="B919" s="57"/>
      <c r="C919"/>
      <c r="D919"/>
    </row>
    <row r="920" spans="2:4" hidden="1" x14ac:dyDescent="0.35">
      <c r="B920" s="57"/>
      <c r="C920"/>
      <c r="D920"/>
    </row>
    <row r="921" spans="2:4" hidden="1" x14ac:dyDescent="0.35">
      <c r="B921" s="57"/>
      <c r="C921"/>
      <c r="D921"/>
    </row>
    <row r="922" spans="2:4" hidden="1" x14ac:dyDescent="0.35">
      <c r="B922" s="57"/>
      <c r="C922"/>
      <c r="D922"/>
    </row>
    <row r="923" spans="2:4" hidden="1" x14ac:dyDescent="0.35">
      <c r="B923" s="57"/>
      <c r="C923"/>
      <c r="D923"/>
    </row>
    <row r="924" spans="2:4" hidden="1" x14ac:dyDescent="0.35">
      <c r="B924" s="57"/>
      <c r="C924"/>
      <c r="D924"/>
    </row>
    <row r="925" spans="2:4" hidden="1" x14ac:dyDescent="0.35">
      <c r="B925" s="57"/>
      <c r="C925"/>
      <c r="D925"/>
    </row>
    <row r="926" spans="2:4" hidden="1" x14ac:dyDescent="0.35">
      <c r="B926" s="57"/>
      <c r="C926"/>
      <c r="D926"/>
    </row>
    <row r="927" spans="2:4" hidden="1" x14ac:dyDescent="0.35">
      <c r="B927" s="57"/>
      <c r="C927"/>
      <c r="D927"/>
    </row>
    <row r="928" spans="2:4" hidden="1" x14ac:dyDescent="0.35">
      <c r="B928" s="57"/>
      <c r="C928"/>
      <c r="D928"/>
    </row>
    <row r="929" spans="2:4" hidden="1" x14ac:dyDescent="0.35">
      <c r="B929" s="57"/>
      <c r="C929"/>
      <c r="D929"/>
    </row>
    <row r="930" spans="2:4" hidden="1" x14ac:dyDescent="0.35">
      <c r="B930" s="57"/>
      <c r="C930"/>
      <c r="D930"/>
    </row>
    <row r="931" spans="2:4" hidden="1" x14ac:dyDescent="0.35">
      <c r="B931" s="57"/>
      <c r="C931"/>
      <c r="D931"/>
    </row>
    <row r="932" spans="2:4" hidden="1" x14ac:dyDescent="0.35">
      <c r="B932" s="57"/>
      <c r="C932"/>
      <c r="D932"/>
    </row>
    <row r="933" spans="2:4" hidden="1" x14ac:dyDescent="0.35">
      <c r="B933" s="57"/>
      <c r="C933"/>
      <c r="D933"/>
    </row>
    <row r="934" spans="2:4" hidden="1" x14ac:dyDescent="0.35">
      <c r="B934" s="57"/>
      <c r="C934"/>
      <c r="D934"/>
    </row>
    <row r="935" spans="2:4" hidden="1" x14ac:dyDescent="0.35">
      <c r="B935" s="57"/>
      <c r="C935"/>
      <c r="D935"/>
    </row>
    <row r="936" spans="2:4" hidden="1" x14ac:dyDescent="0.35">
      <c r="B936" s="57"/>
      <c r="C936"/>
      <c r="D936"/>
    </row>
    <row r="937" spans="2:4" hidden="1" x14ac:dyDescent="0.35">
      <c r="B937" s="57"/>
      <c r="C937"/>
      <c r="D937"/>
    </row>
    <row r="938" spans="2:4" hidden="1" x14ac:dyDescent="0.35">
      <c r="B938" s="57"/>
      <c r="C938"/>
      <c r="D938"/>
    </row>
    <row r="939" spans="2:4" hidden="1" x14ac:dyDescent="0.35">
      <c r="B939" s="57"/>
      <c r="C939"/>
      <c r="D939"/>
    </row>
    <row r="940" spans="2:4" hidden="1" x14ac:dyDescent="0.35">
      <c r="B940" s="57"/>
      <c r="C940"/>
      <c r="D940"/>
    </row>
    <row r="941" spans="2:4" hidden="1" x14ac:dyDescent="0.35">
      <c r="B941" s="57"/>
      <c r="C941"/>
      <c r="D941"/>
    </row>
    <row r="942" spans="2:4" hidden="1" x14ac:dyDescent="0.35">
      <c r="B942" s="57"/>
      <c r="C942"/>
      <c r="D942"/>
    </row>
    <row r="943" spans="2:4" hidden="1" x14ac:dyDescent="0.35">
      <c r="B943" s="57"/>
      <c r="C943"/>
      <c r="D943"/>
    </row>
    <row r="944" spans="2:4" hidden="1" x14ac:dyDescent="0.35">
      <c r="B944" s="57"/>
      <c r="C944"/>
      <c r="D944"/>
    </row>
    <row r="945" spans="2:4" hidden="1" x14ac:dyDescent="0.35">
      <c r="B945" s="57"/>
      <c r="C945"/>
      <c r="D945"/>
    </row>
    <row r="946" spans="2:4" hidden="1" x14ac:dyDescent="0.35">
      <c r="B946" s="57"/>
      <c r="C946"/>
      <c r="D946"/>
    </row>
    <row r="947" spans="2:4" hidden="1" x14ac:dyDescent="0.35">
      <c r="B947" s="57"/>
      <c r="C947"/>
      <c r="D947"/>
    </row>
    <row r="948" spans="2:4" hidden="1" x14ac:dyDescent="0.35">
      <c r="B948" s="57"/>
      <c r="C948"/>
      <c r="D948"/>
    </row>
    <row r="949" spans="2:4" hidden="1" x14ac:dyDescent="0.35">
      <c r="B949" s="57"/>
      <c r="C949"/>
      <c r="D949"/>
    </row>
    <row r="950" spans="2:4" hidden="1" x14ac:dyDescent="0.35">
      <c r="B950" s="57"/>
      <c r="C950"/>
      <c r="D950"/>
    </row>
    <row r="951" spans="2:4" hidden="1" x14ac:dyDescent="0.35">
      <c r="B951" s="57"/>
      <c r="C951"/>
      <c r="D951"/>
    </row>
    <row r="952" spans="2:4" hidden="1" x14ac:dyDescent="0.35">
      <c r="B952" s="57"/>
      <c r="C952"/>
      <c r="D952"/>
    </row>
    <row r="953" spans="2:4" hidden="1" x14ac:dyDescent="0.35">
      <c r="B953" s="57"/>
      <c r="C953"/>
      <c r="D953"/>
    </row>
    <row r="954" spans="2:4" hidden="1" x14ac:dyDescent="0.35">
      <c r="B954" s="57"/>
      <c r="C954"/>
      <c r="D954"/>
    </row>
    <row r="955" spans="2:4" hidden="1" x14ac:dyDescent="0.35">
      <c r="B955" s="57"/>
      <c r="C955"/>
      <c r="D955"/>
    </row>
    <row r="956" spans="2:4" hidden="1" x14ac:dyDescent="0.35">
      <c r="B956" s="57"/>
      <c r="C956"/>
      <c r="D956"/>
    </row>
    <row r="957" spans="2:4" hidden="1" x14ac:dyDescent="0.35">
      <c r="B957" s="57"/>
      <c r="C957"/>
      <c r="D957"/>
    </row>
    <row r="958" spans="2:4" hidden="1" x14ac:dyDescent="0.35">
      <c r="B958" s="57"/>
      <c r="C958"/>
      <c r="D958"/>
    </row>
    <row r="959" spans="2:4" hidden="1" x14ac:dyDescent="0.35">
      <c r="B959" s="57"/>
      <c r="C959"/>
      <c r="D959"/>
    </row>
    <row r="960" spans="2:4" hidden="1" x14ac:dyDescent="0.35">
      <c r="B960" s="57"/>
      <c r="C960"/>
      <c r="D960"/>
    </row>
    <row r="961" spans="2:4" hidden="1" x14ac:dyDescent="0.35">
      <c r="B961" s="57"/>
      <c r="C961"/>
      <c r="D961"/>
    </row>
    <row r="962" spans="2:4" hidden="1" x14ac:dyDescent="0.35">
      <c r="B962" s="57"/>
      <c r="C962"/>
      <c r="D962"/>
    </row>
    <row r="963" spans="2:4" hidden="1" x14ac:dyDescent="0.35">
      <c r="B963" s="57"/>
      <c r="C963"/>
      <c r="D963"/>
    </row>
    <row r="964" spans="2:4" hidden="1" x14ac:dyDescent="0.35">
      <c r="B964" s="57"/>
      <c r="C964"/>
      <c r="D964"/>
    </row>
    <row r="965" spans="2:4" hidden="1" x14ac:dyDescent="0.35">
      <c r="B965" s="57"/>
      <c r="C965"/>
      <c r="D965"/>
    </row>
    <row r="966" spans="2:4" hidden="1" x14ac:dyDescent="0.35">
      <c r="B966" s="57"/>
      <c r="C966"/>
      <c r="D966"/>
    </row>
    <row r="967" spans="2:4" hidden="1" x14ac:dyDescent="0.35">
      <c r="B967" s="57"/>
      <c r="C967"/>
      <c r="D967"/>
    </row>
    <row r="968" spans="2:4" hidden="1" x14ac:dyDescent="0.35">
      <c r="B968" s="57"/>
      <c r="C968"/>
      <c r="D968"/>
    </row>
    <row r="969" spans="2:4" hidden="1" x14ac:dyDescent="0.35">
      <c r="B969" s="57"/>
      <c r="C969"/>
      <c r="D969"/>
    </row>
    <row r="970" spans="2:4" hidden="1" x14ac:dyDescent="0.35">
      <c r="B970" s="57"/>
      <c r="C970"/>
      <c r="D970"/>
    </row>
    <row r="971" spans="2:4" hidden="1" x14ac:dyDescent="0.35">
      <c r="B971" s="57"/>
      <c r="C971"/>
      <c r="D971"/>
    </row>
    <row r="972" spans="2:4" hidden="1" x14ac:dyDescent="0.35">
      <c r="B972" s="57"/>
      <c r="C972"/>
      <c r="D972"/>
    </row>
    <row r="973" spans="2:4" hidden="1" x14ac:dyDescent="0.35">
      <c r="B973" s="57"/>
      <c r="C973"/>
      <c r="D973"/>
    </row>
    <row r="974" spans="2:4" hidden="1" x14ac:dyDescent="0.35">
      <c r="B974" s="57"/>
      <c r="C974"/>
      <c r="D974"/>
    </row>
    <row r="975" spans="2:4" hidden="1" x14ac:dyDescent="0.35">
      <c r="B975" s="57"/>
      <c r="C975"/>
      <c r="D975"/>
    </row>
    <row r="976" spans="2:4" hidden="1" x14ac:dyDescent="0.35">
      <c r="B976" s="57"/>
      <c r="C976"/>
      <c r="D976"/>
    </row>
    <row r="977" spans="2:4" hidden="1" x14ac:dyDescent="0.35">
      <c r="B977" s="57"/>
      <c r="C977"/>
      <c r="D977"/>
    </row>
    <row r="978" spans="2:4" hidden="1" x14ac:dyDescent="0.35">
      <c r="B978" s="57"/>
      <c r="C978"/>
      <c r="D978"/>
    </row>
    <row r="979" spans="2:4" hidden="1" x14ac:dyDescent="0.35">
      <c r="B979" s="57"/>
      <c r="C979"/>
      <c r="D979"/>
    </row>
    <row r="980" spans="2:4" hidden="1" x14ac:dyDescent="0.35">
      <c r="B980" s="57"/>
      <c r="C980"/>
      <c r="D980"/>
    </row>
    <row r="981" spans="2:4" hidden="1" x14ac:dyDescent="0.35">
      <c r="B981" s="57"/>
      <c r="C981"/>
      <c r="D981"/>
    </row>
    <row r="982" spans="2:4" hidden="1" x14ac:dyDescent="0.35">
      <c r="B982" s="57"/>
      <c r="C982"/>
      <c r="D982"/>
    </row>
    <row r="983" spans="2:4" hidden="1" x14ac:dyDescent="0.35">
      <c r="B983" s="57"/>
      <c r="C983"/>
      <c r="D983"/>
    </row>
    <row r="984" spans="2:4" hidden="1" x14ac:dyDescent="0.35">
      <c r="B984" s="57"/>
      <c r="C984"/>
      <c r="D984"/>
    </row>
    <row r="985" spans="2:4" hidden="1" x14ac:dyDescent="0.35">
      <c r="B985" s="57"/>
      <c r="C985"/>
      <c r="D985"/>
    </row>
    <row r="986" spans="2:4" hidden="1" x14ac:dyDescent="0.35">
      <c r="B986" s="57"/>
      <c r="C986"/>
      <c r="D986"/>
    </row>
    <row r="987" spans="2:4" hidden="1" x14ac:dyDescent="0.35">
      <c r="B987" s="57"/>
      <c r="C987"/>
      <c r="D987"/>
    </row>
    <row r="988" spans="2:4" hidden="1" x14ac:dyDescent="0.35">
      <c r="B988" s="57"/>
      <c r="C988"/>
      <c r="D988"/>
    </row>
    <row r="989" spans="2:4" hidden="1" x14ac:dyDescent="0.35">
      <c r="B989" s="57"/>
      <c r="C989"/>
      <c r="D989"/>
    </row>
    <row r="990" spans="2:4" hidden="1" x14ac:dyDescent="0.35">
      <c r="B990" s="57"/>
      <c r="C990"/>
      <c r="D990"/>
    </row>
    <row r="991" spans="2:4" hidden="1" x14ac:dyDescent="0.35">
      <c r="B991" s="57"/>
      <c r="C991"/>
      <c r="D991"/>
    </row>
    <row r="992" spans="2:4" hidden="1" x14ac:dyDescent="0.35">
      <c r="B992" s="57"/>
      <c r="C992"/>
      <c r="D992"/>
    </row>
    <row r="993" spans="2:4" hidden="1" x14ac:dyDescent="0.35">
      <c r="B993" s="57"/>
      <c r="C993"/>
      <c r="D993"/>
    </row>
    <row r="994" spans="2:4" hidden="1" x14ac:dyDescent="0.35">
      <c r="B994" s="57"/>
      <c r="C994"/>
      <c r="D994"/>
    </row>
    <row r="995" spans="2:4" hidden="1" x14ac:dyDescent="0.35">
      <c r="B995" s="57"/>
      <c r="C995"/>
      <c r="D995"/>
    </row>
    <row r="996" spans="2:4" hidden="1" x14ac:dyDescent="0.35">
      <c r="B996" s="57"/>
      <c r="C996"/>
      <c r="D996"/>
    </row>
    <row r="997" spans="2:4" hidden="1" x14ac:dyDescent="0.35">
      <c r="B997" s="57"/>
      <c r="C997"/>
      <c r="D997"/>
    </row>
    <row r="998" spans="2:4" hidden="1" x14ac:dyDescent="0.35">
      <c r="B998" s="57"/>
      <c r="C998"/>
      <c r="D998"/>
    </row>
    <row r="999" spans="2:4" hidden="1" x14ac:dyDescent="0.35">
      <c r="B999" s="57"/>
      <c r="C999"/>
      <c r="D999"/>
    </row>
    <row r="1000" spans="2:4" hidden="1" x14ac:dyDescent="0.35">
      <c r="B1000" s="57"/>
      <c r="C1000"/>
      <c r="D1000"/>
    </row>
    <row r="1001" spans="2:4" hidden="1" x14ac:dyDescent="0.35">
      <c r="B1001" s="57"/>
      <c r="C1001"/>
      <c r="D1001"/>
    </row>
    <row r="1002" spans="2:4" hidden="1" x14ac:dyDescent="0.35">
      <c r="B1002" s="57"/>
      <c r="C1002"/>
      <c r="D1002"/>
    </row>
    <row r="1003" spans="2:4" hidden="1" x14ac:dyDescent="0.35">
      <c r="B1003" s="57"/>
      <c r="C1003"/>
      <c r="D1003"/>
    </row>
    <row r="1004" spans="2:4" hidden="1" x14ac:dyDescent="0.35">
      <c r="B1004" s="57"/>
      <c r="C1004"/>
      <c r="D1004"/>
    </row>
    <row r="1005" spans="2:4" hidden="1" x14ac:dyDescent="0.35">
      <c r="B1005" s="57"/>
      <c r="C1005"/>
      <c r="D1005"/>
    </row>
    <row r="1006" spans="2:4" hidden="1" x14ac:dyDescent="0.35">
      <c r="B1006" s="57"/>
      <c r="C1006"/>
      <c r="D1006"/>
    </row>
    <row r="1007" spans="2:4" hidden="1" x14ac:dyDescent="0.35">
      <c r="B1007" s="57"/>
      <c r="C1007"/>
      <c r="D1007"/>
    </row>
    <row r="1008" spans="2:4" hidden="1" x14ac:dyDescent="0.35">
      <c r="B1008" s="57"/>
      <c r="C1008"/>
      <c r="D1008"/>
    </row>
    <row r="1009" spans="2:4" hidden="1" x14ac:dyDescent="0.35">
      <c r="B1009" s="57"/>
      <c r="C1009"/>
      <c r="D1009"/>
    </row>
    <row r="1010" spans="2:4" hidden="1" x14ac:dyDescent="0.35">
      <c r="B1010" s="57"/>
      <c r="C1010"/>
      <c r="D1010"/>
    </row>
    <row r="1011" spans="2:4" hidden="1" x14ac:dyDescent="0.35">
      <c r="B1011" s="57"/>
      <c r="C1011"/>
      <c r="D1011"/>
    </row>
    <row r="1012" spans="2:4" hidden="1" x14ac:dyDescent="0.35">
      <c r="B1012" s="57"/>
      <c r="C1012"/>
      <c r="D1012"/>
    </row>
    <row r="1013" spans="2:4" hidden="1" x14ac:dyDescent="0.35">
      <c r="B1013" s="57"/>
      <c r="C1013"/>
      <c r="D1013"/>
    </row>
    <row r="1014" spans="2:4" hidden="1" x14ac:dyDescent="0.35">
      <c r="B1014" s="57"/>
      <c r="C1014"/>
      <c r="D1014"/>
    </row>
    <row r="1015" spans="2:4" hidden="1" x14ac:dyDescent="0.35">
      <c r="B1015" s="57"/>
      <c r="C1015"/>
      <c r="D1015"/>
    </row>
    <row r="1016" spans="2:4" hidden="1" x14ac:dyDescent="0.35">
      <c r="B1016" s="57"/>
      <c r="C1016"/>
      <c r="D1016"/>
    </row>
    <row r="1017" spans="2:4" hidden="1" x14ac:dyDescent="0.35">
      <c r="B1017" s="57"/>
      <c r="C1017"/>
      <c r="D1017"/>
    </row>
    <row r="1018" spans="2:4" hidden="1" x14ac:dyDescent="0.35">
      <c r="B1018" s="57"/>
      <c r="C1018"/>
      <c r="D1018"/>
    </row>
    <row r="1019" spans="2:4" hidden="1" x14ac:dyDescent="0.35">
      <c r="B1019" s="57"/>
      <c r="C1019"/>
      <c r="D1019"/>
    </row>
    <row r="1020" spans="2:4" hidden="1" x14ac:dyDescent="0.35">
      <c r="B1020" s="57"/>
      <c r="C1020"/>
      <c r="D1020"/>
    </row>
    <row r="1021" spans="2:4" hidden="1" x14ac:dyDescent="0.35">
      <c r="B1021" s="57"/>
      <c r="C1021"/>
      <c r="D1021"/>
    </row>
    <row r="1022" spans="2:4" hidden="1" x14ac:dyDescent="0.35">
      <c r="B1022" s="57"/>
      <c r="C1022"/>
      <c r="D1022"/>
    </row>
    <row r="1023" spans="2:4" hidden="1" x14ac:dyDescent="0.35">
      <c r="B1023" s="57"/>
      <c r="C1023"/>
      <c r="D1023"/>
    </row>
    <row r="1024" spans="2:4" hidden="1" x14ac:dyDescent="0.35">
      <c r="B1024" s="57"/>
      <c r="C1024"/>
      <c r="D1024"/>
    </row>
    <row r="1025" spans="2:4" hidden="1" x14ac:dyDescent="0.35">
      <c r="B1025" s="57"/>
      <c r="C1025"/>
      <c r="D1025"/>
    </row>
    <row r="1026" spans="2:4" hidden="1" x14ac:dyDescent="0.35">
      <c r="B1026" s="57"/>
      <c r="C1026"/>
      <c r="D1026"/>
    </row>
    <row r="1027" spans="2:4" hidden="1" x14ac:dyDescent="0.35">
      <c r="B1027" s="57"/>
      <c r="C1027"/>
      <c r="D1027"/>
    </row>
    <row r="1028" spans="2:4" hidden="1" x14ac:dyDescent="0.35">
      <c r="B1028" s="57"/>
      <c r="C1028"/>
      <c r="D1028"/>
    </row>
    <row r="1029" spans="2:4" hidden="1" x14ac:dyDescent="0.35">
      <c r="B1029" s="57"/>
      <c r="C1029"/>
      <c r="D1029"/>
    </row>
    <row r="1030" spans="2:4" hidden="1" x14ac:dyDescent="0.35">
      <c r="B1030" s="57"/>
      <c r="C1030"/>
      <c r="D1030"/>
    </row>
    <row r="1031" spans="2:4" hidden="1" x14ac:dyDescent="0.35">
      <c r="B1031" s="57"/>
      <c r="C1031"/>
      <c r="D1031"/>
    </row>
    <row r="1032" spans="2:4" hidden="1" x14ac:dyDescent="0.35">
      <c r="B1032" s="57"/>
      <c r="C1032"/>
      <c r="D1032"/>
    </row>
    <row r="1033" spans="2:4" hidden="1" x14ac:dyDescent="0.35">
      <c r="B1033" s="57"/>
      <c r="C1033"/>
      <c r="D1033"/>
    </row>
    <row r="1034" spans="2:4" hidden="1" x14ac:dyDescent="0.35">
      <c r="B1034" s="57"/>
      <c r="C1034"/>
      <c r="D1034"/>
    </row>
    <row r="1035" spans="2:4" hidden="1" x14ac:dyDescent="0.35">
      <c r="B1035" s="57"/>
      <c r="C1035"/>
      <c r="D1035"/>
    </row>
    <row r="1036" spans="2:4" hidden="1" x14ac:dyDescent="0.35">
      <c r="B1036" s="57"/>
      <c r="C1036"/>
      <c r="D1036"/>
    </row>
    <row r="1037" spans="2:4" hidden="1" x14ac:dyDescent="0.35">
      <c r="B1037" s="57"/>
      <c r="C1037"/>
      <c r="D1037"/>
    </row>
    <row r="1038" spans="2:4" hidden="1" x14ac:dyDescent="0.35">
      <c r="B1038" s="57"/>
      <c r="C1038"/>
      <c r="D1038"/>
    </row>
    <row r="1039" spans="2:4" hidden="1" x14ac:dyDescent="0.35">
      <c r="B1039" s="57"/>
      <c r="C1039"/>
      <c r="D1039"/>
    </row>
    <row r="1040" spans="2:4" hidden="1" x14ac:dyDescent="0.35">
      <c r="B1040" s="57"/>
      <c r="C1040"/>
      <c r="D1040"/>
    </row>
    <row r="1041" spans="2:4" hidden="1" x14ac:dyDescent="0.35">
      <c r="B1041" s="57"/>
      <c r="C1041"/>
      <c r="D1041"/>
    </row>
    <row r="1042" spans="2:4" hidden="1" x14ac:dyDescent="0.35">
      <c r="B1042" s="57"/>
      <c r="C1042"/>
      <c r="D1042"/>
    </row>
    <row r="1043" spans="2:4" hidden="1" x14ac:dyDescent="0.35">
      <c r="B1043" s="57"/>
      <c r="C1043"/>
      <c r="D1043"/>
    </row>
    <row r="1044" spans="2:4" hidden="1" x14ac:dyDescent="0.35">
      <c r="B1044" s="57"/>
      <c r="C1044"/>
      <c r="D1044"/>
    </row>
    <row r="1045" spans="2:4" hidden="1" x14ac:dyDescent="0.35">
      <c r="B1045" s="57"/>
      <c r="C1045"/>
      <c r="D1045"/>
    </row>
    <row r="1046" spans="2:4" hidden="1" x14ac:dyDescent="0.35">
      <c r="B1046" s="57"/>
      <c r="C1046"/>
      <c r="D1046"/>
    </row>
    <row r="1047" spans="2:4" hidden="1" x14ac:dyDescent="0.35">
      <c r="B1047" s="57"/>
      <c r="C1047"/>
      <c r="D1047"/>
    </row>
    <row r="1048" spans="2:4" hidden="1" x14ac:dyDescent="0.35">
      <c r="B1048" s="57"/>
      <c r="C1048"/>
      <c r="D1048"/>
    </row>
    <row r="1049" spans="2:4" hidden="1" x14ac:dyDescent="0.35">
      <c r="B1049" s="57"/>
      <c r="C1049"/>
      <c r="D1049"/>
    </row>
    <row r="1050" spans="2:4" hidden="1" x14ac:dyDescent="0.35">
      <c r="B1050" s="57"/>
      <c r="C1050"/>
      <c r="D1050"/>
    </row>
    <row r="1051" spans="2:4" hidden="1" x14ac:dyDescent="0.35">
      <c r="B1051" s="57"/>
      <c r="C1051"/>
      <c r="D1051"/>
    </row>
    <row r="1052" spans="2:4" hidden="1" x14ac:dyDescent="0.35">
      <c r="B1052" s="57"/>
      <c r="C1052"/>
      <c r="D1052"/>
    </row>
    <row r="1053" spans="2:4" hidden="1" x14ac:dyDescent="0.35">
      <c r="B1053" s="57"/>
      <c r="C1053"/>
      <c r="D1053"/>
    </row>
    <row r="1054" spans="2:4" hidden="1" x14ac:dyDescent="0.35">
      <c r="B1054" s="57"/>
      <c r="C1054"/>
      <c r="D1054"/>
    </row>
    <row r="1055" spans="2:4" hidden="1" x14ac:dyDescent="0.35">
      <c r="B1055" s="57"/>
      <c r="C1055"/>
      <c r="D1055"/>
    </row>
    <row r="1056" spans="2:4" hidden="1" x14ac:dyDescent="0.35">
      <c r="B1056" s="57"/>
      <c r="C1056"/>
      <c r="D1056"/>
    </row>
    <row r="1057" spans="2:4" hidden="1" x14ac:dyDescent="0.35">
      <c r="B1057" s="57"/>
      <c r="C1057"/>
      <c r="D1057"/>
    </row>
    <row r="1058" spans="2:4" hidden="1" x14ac:dyDescent="0.35">
      <c r="B1058" s="57"/>
      <c r="C1058"/>
      <c r="D1058"/>
    </row>
    <row r="1059" spans="2:4" hidden="1" x14ac:dyDescent="0.35">
      <c r="B1059" s="57"/>
      <c r="C1059"/>
      <c r="D1059"/>
    </row>
    <row r="1060" spans="2:4" hidden="1" x14ac:dyDescent="0.35">
      <c r="B1060" s="57"/>
      <c r="C1060"/>
      <c r="D1060"/>
    </row>
    <row r="1061" spans="2:4" hidden="1" x14ac:dyDescent="0.35">
      <c r="B1061" s="57"/>
      <c r="C1061"/>
      <c r="D1061"/>
    </row>
    <row r="1062" spans="2:4" hidden="1" x14ac:dyDescent="0.35">
      <c r="B1062" s="57"/>
      <c r="C1062"/>
      <c r="D1062"/>
    </row>
    <row r="1063" spans="2:4" hidden="1" x14ac:dyDescent="0.35">
      <c r="B1063" s="57"/>
      <c r="C1063"/>
      <c r="D1063"/>
    </row>
    <row r="1064" spans="2:4" hidden="1" x14ac:dyDescent="0.35">
      <c r="B1064" s="57"/>
      <c r="C1064"/>
      <c r="D1064"/>
    </row>
    <row r="1065" spans="2:4" hidden="1" x14ac:dyDescent="0.35">
      <c r="B1065" s="57"/>
      <c r="C1065"/>
      <c r="D1065"/>
    </row>
    <row r="1066" spans="2:4" hidden="1" x14ac:dyDescent="0.35">
      <c r="B1066" s="57"/>
      <c r="C1066"/>
      <c r="D1066"/>
    </row>
    <row r="1067" spans="2:4" hidden="1" x14ac:dyDescent="0.35">
      <c r="B1067" s="57"/>
      <c r="C1067"/>
      <c r="D1067"/>
    </row>
    <row r="1068" spans="2:4" hidden="1" x14ac:dyDescent="0.35">
      <c r="B1068" s="57"/>
      <c r="C1068"/>
      <c r="D1068"/>
    </row>
    <row r="1069" spans="2:4" hidden="1" x14ac:dyDescent="0.35">
      <c r="B1069" s="57"/>
      <c r="C1069"/>
      <c r="D1069"/>
    </row>
    <row r="1070" spans="2:4" hidden="1" x14ac:dyDescent="0.35">
      <c r="B1070" s="57"/>
      <c r="C1070"/>
      <c r="D1070"/>
    </row>
    <row r="1071" spans="2:4" hidden="1" x14ac:dyDescent="0.35">
      <c r="B1071" s="57"/>
      <c r="C1071"/>
      <c r="D1071"/>
    </row>
    <row r="1072" spans="2:4" hidden="1" x14ac:dyDescent="0.35">
      <c r="B1072" s="57"/>
      <c r="C1072"/>
      <c r="D1072"/>
    </row>
    <row r="1073" spans="2:4" hidden="1" x14ac:dyDescent="0.35">
      <c r="B1073" s="57"/>
      <c r="C1073"/>
      <c r="D1073"/>
    </row>
    <row r="1074" spans="2:4" hidden="1" x14ac:dyDescent="0.35">
      <c r="B1074" s="57"/>
      <c r="C1074"/>
      <c r="D1074"/>
    </row>
    <row r="1075" spans="2:4" hidden="1" x14ac:dyDescent="0.35">
      <c r="B1075" s="57"/>
      <c r="C1075"/>
      <c r="D1075"/>
    </row>
    <row r="1076" spans="2:4" hidden="1" x14ac:dyDescent="0.35">
      <c r="B1076" s="57"/>
      <c r="C1076"/>
      <c r="D1076"/>
    </row>
    <row r="1077" spans="2:4" hidden="1" x14ac:dyDescent="0.35">
      <c r="B1077" s="57"/>
      <c r="C1077"/>
      <c r="D1077"/>
    </row>
    <row r="1078" spans="2:4" hidden="1" x14ac:dyDescent="0.35">
      <c r="B1078" s="57"/>
      <c r="C1078"/>
      <c r="D1078"/>
    </row>
    <row r="1079" spans="2:4" hidden="1" x14ac:dyDescent="0.35">
      <c r="B1079" s="57"/>
      <c r="C1079"/>
      <c r="D1079"/>
    </row>
    <row r="1080" spans="2:4" hidden="1" x14ac:dyDescent="0.35">
      <c r="B1080" s="57"/>
      <c r="C1080"/>
      <c r="D1080"/>
    </row>
    <row r="1081" spans="2:4" hidden="1" x14ac:dyDescent="0.35">
      <c r="B1081" s="57"/>
      <c r="C1081"/>
      <c r="D1081"/>
    </row>
    <row r="1082" spans="2:4" hidden="1" x14ac:dyDescent="0.35">
      <c r="B1082" s="57"/>
      <c r="C1082"/>
      <c r="D1082"/>
    </row>
    <row r="1083" spans="2:4" hidden="1" x14ac:dyDescent="0.35">
      <c r="B1083" s="57"/>
      <c r="C1083"/>
      <c r="D1083"/>
    </row>
    <row r="1084" spans="2:4" hidden="1" x14ac:dyDescent="0.35">
      <c r="B1084" s="57"/>
      <c r="C1084"/>
      <c r="D1084"/>
    </row>
    <row r="1085" spans="2:4" hidden="1" x14ac:dyDescent="0.35">
      <c r="B1085" s="57"/>
      <c r="C1085"/>
      <c r="D1085"/>
    </row>
    <row r="1086" spans="2:4" hidden="1" x14ac:dyDescent="0.35">
      <c r="B1086" s="57"/>
      <c r="C1086"/>
      <c r="D1086"/>
    </row>
    <row r="1087" spans="2:4" hidden="1" x14ac:dyDescent="0.35">
      <c r="B1087" s="57"/>
      <c r="C1087"/>
      <c r="D1087"/>
    </row>
    <row r="1088" spans="2:4" hidden="1" x14ac:dyDescent="0.35">
      <c r="B1088" s="57"/>
      <c r="C1088"/>
      <c r="D1088"/>
    </row>
    <row r="1089" spans="2:4" hidden="1" x14ac:dyDescent="0.35">
      <c r="B1089" s="57"/>
      <c r="C1089"/>
      <c r="D1089"/>
    </row>
    <row r="1090" spans="2:4" hidden="1" x14ac:dyDescent="0.35">
      <c r="B1090" s="57"/>
      <c r="C1090"/>
      <c r="D1090"/>
    </row>
    <row r="1091" spans="2:4" hidden="1" x14ac:dyDescent="0.35">
      <c r="B1091" s="57"/>
      <c r="C1091"/>
      <c r="D1091"/>
    </row>
    <row r="1092" spans="2:4" hidden="1" x14ac:dyDescent="0.35">
      <c r="B1092" s="57"/>
      <c r="C1092"/>
      <c r="D1092"/>
    </row>
    <row r="1093" spans="2:4" hidden="1" x14ac:dyDescent="0.35">
      <c r="B1093" s="57"/>
      <c r="C1093"/>
      <c r="D1093"/>
    </row>
    <row r="1094" spans="2:4" hidden="1" x14ac:dyDescent="0.35">
      <c r="B1094" s="57"/>
      <c r="C1094"/>
      <c r="D1094"/>
    </row>
    <row r="1095" spans="2:4" hidden="1" x14ac:dyDescent="0.35">
      <c r="B1095" s="57"/>
      <c r="C1095"/>
      <c r="D1095"/>
    </row>
    <row r="1096" spans="2:4" hidden="1" x14ac:dyDescent="0.35">
      <c r="B1096" s="57"/>
      <c r="C1096"/>
      <c r="D1096"/>
    </row>
    <row r="1097" spans="2:4" hidden="1" x14ac:dyDescent="0.35">
      <c r="B1097" s="57"/>
      <c r="C1097"/>
      <c r="D1097"/>
    </row>
    <row r="1098" spans="2:4" hidden="1" x14ac:dyDescent="0.35">
      <c r="B1098" s="57"/>
      <c r="C1098"/>
      <c r="D1098"/>
    </row>
    <row r="1099" spans="2:4" hidden="1" x14ac:dyDescent="0.35">
      <c r="B1099" s="57"/>
      <c r="C1099"/>
      <c r="D1099"/>
    </row>
    <row r="1100" spans="2:4" hidden="1" x14ac:dyDescent="0.35">
      <c r="B1100" s="57"/>
      <c r="C1100"/>
      <c r="D1100"/>
    </row>
    <row r="1101" spans="2:4" hidden="1" x14ac:dyDescent="0.35">
      <c r="B1101" s="57"/>
      <c r="C1101"/>
      <c r="D1101"/>
    </row>
    <row r="1102" spans="2:4" hidden="1" x14ac:dyDescent="0.35">
      <c r="B1102" s="57"/>
      <c r="C1102"/>
      <c r="D1102"/>
    </row>
    <row r="1103" spans="2:4" hidden="1" x14ac:dyDescent="0.35">
      <c r="B1103" s="57"/>
      <c r="C1103"/>
      <c r="D1103"/>
    </row>
    <row r="1104" spans="2:4" hidden="1" x14ac:dyDescent="0.35">
      <c r="B1104" s="57"/>
      <c r="C1104"/>
      <c r="D1104"/>
    </row>
    <row r="1105" spans="2:4" hidden="1" x14ac:dyDescent="0.35">
      <c r="B1105" s="57"/>
      <c r="C1105"/>
      <c r="D1105"/>
    </row>
    <row r="1106" spans="2:4" hidden="1" x14ac:dyDescent="0.35">
      <c r="B1106" s="57"/>
      <c r="C1106"/>
      <c r="D1106"/>
    </row>
    <row r="1107" spans="2:4" hidden="1" x14ac:dyDescent="0.35">
      <c r="B1107" s="57"/>
      <c r="C1107"/>
      <c r="D1107"/>
    </row>
    <row r="1108" spans="2:4" hidden="1" x14ac:dyDescent="0.35">
      <c r="B1108" s="57"/>
      <c r="C1108"/>
      <c r="D1108"/>
    </row>
    <row r="1109" spans="2:4" hidden="1" x14ac:dyDescent="0.35">
      <c r="B1109" s="57"/>
      <c r="C1109"/>
      <c r="D1109"/>
    </row>
    <row r="1110" spans="2:4" hidden="1" x14ac:dyDescent="0.35">
      <c r="B1110" s="57"/>
      <c r="C1110"/>
      <c r="D1110"/>
    </row>
    <row r="1111" spans="2:4" hidden="1" x14ac:dyDescent="0.35">
      <c r="B1111" s="57"/>
      <c r="C1111"/>
      <c r="D1111"/>
    </row>
    <row r="1112" spans="2:4" hidden="1" x14ac:dyDescent="0.35">
      <c r="B1112" s="57"/>
      <c r="C1112"/>
      <c r="D1112"/>
    </row>
    <row r="1113" spans="2:4" hidden="1" x14ac:dyDescent="0.35">
      <c r="B1113" s="57"/>
      <c r="C1113"/>
      <c r="D1113"/>
    </row>
    <row r="1114" spans="2:4" hidden="1" x14ac:dyDescent="0.35">
      <c r="B1114" s="57"/>
      <c r="C1114"/>
      <c r="D1114"/>
    </row>
    <row r="1115" spans="2:4" hidden="1" x14ac:dyDescent="0.35">
      <c r="B1115" s="57"/>
      <c r="C1115"/>
      <c r="D1115"/>
    </row>
    <row r="1116" spans="2:4" hidden="1" x14ac:dyDescent="0.35">
      <c r="B1116" s="57"/>
      <c r="C1116"/>
      <c r="D1116"/>
    </row>
    <row r="1117" spans="2:4" hidden="1" x14ac:dyDescent="0.35">
      <c r="B1117" s="57"/>
      <c r="C1117"/>
      <c r="D1117"/>
    </row>
    <row r="1118" spans="2:4" hidden="1" x14ac:dyDescent="0.35">
      <c r="B1118" s="57"/>
      <c r="C1118"/>
      <c r="D1118"/>
    </row>
    <row r="1119" spans="2:4" hidden="1" x14ac:dyDescent="0.35">
      <c r="B1119" s="57"/>
      <c r="C1119"/>
      <c r="D1119"/>
    </row>
    <row r="1120" spans="2:4" hidden="1" x14ac:dyDescent="0.35">
      <c r="B1120" s="57"/>
      <c r="C1120"/>
      <c r="D1120"/>
    </row>
    <row r="1121" spans="2:4" hidden="1" x14ac:dyDescent="0.35">
      <c r="B1121" s="57"/>
      <c r="C1121"/>
      <c r="D1121"/>
    </row>
    <row r="1122" spans="2:4" hidden="1" x14ac:dyDescent="0.35">
      <c r="B1122" s="57"/>
      <c r="C1122"/>
      <c r="D1122"/>
    </row>
    <row r="1123" spans="2:4" hidden="1" x14ac:dyDescent="0.35">
      <c r="B1123" s="57"/>
      <c r="C1123"/>
      <c r="D1123"/>
    </row>
    <row r="1124" spans="2:4" hidden="1" x14ac:dyDescent="0.35">
      <c r="B1124" s="57"/>
      <c r="C1124"/>
      <c r="D1124"/>
    </row>
    <row r="1125" spans="2:4" hidden="1" x14ac:dyDescent="0.35">
      <c r="B1125" s="57"/>
      <c r="C1125"/>
      <c r="D1125"/>
    </row>
    <row r="1126" spans="2:4" hidden="1" x14ac:dyDescent="0.35">
      <c r="B1126" s="57"/>
      <c r="C1126"/>
      <c r="D1126"/>
    </row>
    <row r="1127" spans="2:4" hidden="1" x14ac:dyDescent="0.35">
      <c r="B1127" s="57"/>
      <c r="C1127"/>
      <c r="D1127"/>
    </row>
    <row r="1128" spans="2:4" hidden="1" x14ac:dyDescent="0.35">
      <c r="B1128" s="57"/>
      <c r="C1128"/>
      <c r="D1128"/>
    </row>
    <row r="1129" spans="2:4" hidden="1" x14ac:dyDescent="0.35">
      <c r="B1129" s="57"/>
      <c r="C1129"/>
      <c r="D1129"/>
    </row>
    <row r="1130" spans="2:4" hidden="1" x14ac:dyDescent="0.35">
      <c r="B1130" s="57"/>
      <c r="C1130"/>
      <c r="D1130"/>
    </row>
    <row r="1131" spans="2:4" hidden="1" x14ac:dyDescent="0.35">
      <c r="B1131" s="57"/>
      <c r="C1131"/>
      <c r="D1131"/>
    </row>
    <row r="1132" spans="2:4" hidden="1" x14ac:dyDescent="0.35">
      <c r="B1132" s="57"/>
      <c r="C1132"/>
      <c r="D1132"/>
    </row>
    <row r="1133" spans="2:4" hidden="1" x14ac:dyDescent="0.35">
      <c r="B1133" s="57"/>
      <c r="C1133"/>
      <c r="D1133"/>
    </row>
    <row r="1134" spans="2:4" hidden="1" x14ac:dyDescent="0.35">
      <c r="B1134" s="57"/>
      <c r="C1134"/>
      <c r="D1134"/>
    </row>
    <row r="1135" spans="2:4" hidden="1" x14ac:dyDescent="0.35">
      <c r="B1135" s="57"/>
      <c r="C1135"/>
      <c r="D1135"/>
    </row>
    <row r="1136" spans="2:4" hidden="1" x14ac:dyDescent="0.35">
      <c r="B1136" s="57"/>
      <c r="C1136"/>
      <c r="D1136"/>
    </row>
    <row r="1137" spans="2:4" hidden="1" x14ac:dyDescent="0.35">
      <c r="B1137" s="57"/>
      <c r="C1137"/>
      <c r="D1137"/>
    </row>
    <row r="1138" spans="2:4" hidden="1" x14ac:dyDescent="0.35">
      <c r="B1138" s="57"/>
      <c r="C1138"/>
      <c r="D1138"/>
    </row>
    <row r="1139" spans="2:4" hidden="1" x14ac:dyDescent="0.35">
      <c r="B1139" s="57"/>
      <c r="C1139"/>
      <c r="D1139"/>
    </row>
    <row r="1140" spans="2:4" hidden="1" x14ac:dyDescent="0.35">
      <c r="B1140" s="57"/>
      <c r="C1140"/>
      <c r="D1140"/>
    </row>
    <row r="1141" spans="2:4" hidden="1" x14ac:dyDescent="0.35">
      <c r="B1141" s="57"/>
      <c r="C1141"/>
      <c r="D1141"/>
    </row>
    <row r="1142" spans="2:4" hidden="1" x14ac:dyDescent="0.35">
      <c r="B1142" s="57"/>
      <c r="C1142"/>
      <c r="D1142"/>
    </row>
    <row r="1143" spans="2:4" hidden="1" x14ac:dyDescent="0.35">
      <c r="B1143" s="57"/>
      <c r="C1143"/>
      <c r="D1143"/>
    </row>
    <row r="1144" spans="2:4" hidden="1" x14ac:dyDescent="0.35">
      <c r="B1144" s="57"/>
      <c r="C1144"/>
      <c r="D1144"/>
    </row>
    <row r="1145" spans="2:4" hidden="1" x14ac:dyDescent="0.35">
      <c r="B1145" s="57"/>
      <c r="C1145"/>
      <c r="D1145"/>
    </row>
    <row r="1146" spans="2:4" hidden="1" x14ac:dyDescent="0.35">
      <c r="B1146" s="57"/>
      <c r="C1146"/>
      <c r="D1146"/>
    </row>
    <row r="1147" spans="2:4" hidden="1" x14ac:dyDescent="0.35">
      <c r="B1147" s="57"/>
      <c r="C1147"/>
      <c r="D1147"/>
    </row>
    <row r="1148" spans="2:4" hidden="1" x14ac:dyDescent="0.35">
      <c r="B1148" s="57"/>
      <c r="C1148"/>
      <c r="D1148"/>
    </row>
    <row r="1149" spans="2:4" hidden="1" x14ac:dyDescent="0.35">
      <c r="B1149" s="57"/>
      <c r="C1149"/>
      <c r="D1149"/>
    </row>
    <row r="1150" spans="2:4" hidden="1" x14ac:dyDescent="0.35">
      <c r="B1150" s="57"/>
      <c r="C1150"/>
      <c r="D1150"/>
    </row>
    <row r="1151" spans="2:4" hidden="1" x14ac:dyDescent="0.35">
      <c r="B1151" s="57"/>
      <c r="C1151"/>
      <c r="D1151"/>
    </row>
    <row r="1152" spans="2:4" hidden="1" x14ac:dyDescent="0.35">
      <c r="B1152" s="57"/>
      <c r="C1152"/>
      <c r="D1152"/>
    </row>
    <row r="1153" spans="2:4" hidden="1" x14ac:dyDescent="0.35">
      <c r="B1153" s="57"/>
      <c r="C1153"/>
      <c r="D1153"/>
    </row>
    <row r="1154" spans="2:4" hidden="1" x14ac:dyDescent="0.35">
      <c r="B1154" s="57"/>
      <c r="C1154"/>
      <c r="D1154"/>
    </row>
    <row r="1155" spans="2:4" hidden="1" x14ac:dyDescent="0.35">
      <c r="B1155" s="57"/>
      <c r="C1155"/>
      <c r="D1155"/>
    </row>
    <row r="1156" spans="2:4" hidden="1" x14ac:dyDescent="0.35">
      <c r="B1156" s="57"/>
      <c r="C1156"/>
      <c r="D1156"/>
    </row>
    <row r="1157" spans="2:4" hidden="1" x14ac:dyDescent="0.35">
      <c r="B1157" s="57"/>
      <c r="C1157"/>
      <c r="D1157"/>
    </row>
    <row r="1158" spans="2:4" hidden="1" x14ac:dyDescent="0.35">
      <c r="B1158" s="57"/>
      <c r="C1158"/>
      <c r="D1158"/>
    </row>
    <row r="1159" spans="2:4" hidden="1" x14ac:dyDescent="0.35">
      <c r="B1159" s="57"/>
      <c r="C1159"/>
      <c r="D1159"/>
    </row>
    <row r="1160" spans="2:4" hidden="1" x14ac:dyDescent="0.35">
      <c r="B1160" s="57"/>
      <c r="C1160"/>
      <c r="D1160"/>
    </row>
    <row r="1161" spans="2:4" hidden="1" x14ac:dyDescent="0.35">
      <c r="B1161" s="57"/>
      <c r="C1161"/>
      <c r="D1161"/>
    </row>
    <row r="1162" spans="2:4" hidden="1" x14ac:dyDescent="0.35">
      <c r="B1162" s="57"/>
      <c r="C1162"/>
      <c r="D1162"/>
    </row>
    <row r="1163" spans="2:4" hidden="1" x14ac:dyDescent="0.35">
      <c r="B1163" s="57"/>
      <c r="C1163"/>
      <c r="D1163"/>
    </row>
    <row r="1164" spans="2:4" hidden="1" x14ac:dyDescent="0.35">
      <c r="B1164" s="57"/>
      <c r="C1164"/>
      <c r="D1164"/>
    </row>
    <row r="1165" spans="2:4" hidden="1" x14ac:dyDescent="0.35">
      <c r="B1165" s="57"/>
      <c r="C1165"/>
      <c r="D1165"/>
    </row>
    <row r="1166" spans="2:4" hidden="1" x14ac:dyDescent="0.35">
      <c r="B1166" s="57"/>
      <c r="C1166"/>
      <c r="D1166"/>
    </row>
    <row r="1167" spans="2:4" hidden="1" x14ac:dyDescent="0.35">
      <c r="B1167" s="57"/>
      <c r="C1167"/>
      <c r="D1167"/>
    </row>
    <row r="1168" spans="2:4" hidden="1" x14ac:dyDescent="0.35">
      <c r="B1168" s="57"/>
      <c r="C1168"/>
      <c r="D1168"/>
    </row>
    <row r="1169" spans="2:4" hidden="1" x14ac:dyDescent="0.35">
      <c r="B1169" s="57"/>
      <c r="C1169"/>
      <c r="D1169"/>
    </row>
    <row r="1170" spans="2:4" hidden="1" x14ac:dyDescent="0.35">
      <c r="B1170" s="57"/>
      <c r="C1170"/>
      <c r="D1170"/>
    </row>
    <row r="1171" spans="2:4" hidden="1" x14ac:dyDescent="0.35">
      <c r="B1171" s="57"/>
      <c r="C1171"/>
      <c r="D1171"/>
    </row>
    <row r="1172" spans="2:4" hidden="1" x14ac:dyDescent="0.35">
      <c r="B1172" s="57"/>
      <c r="C1172"/>
      <c r="D1172"/>
    </row>
    <row r="1173" spans="2:4" hidden="1" x14ac:dyDescent="0.35">
      <c r="B1173" s="57"/>
      <c r="C1173"/>
      <c r="D1173"/>
    </row>
    <row r="1174" spans="2:4" hidden="1" x14ac:dyDescent="0.35">
      <c r="B1174" s="57"/>
      <c r="C1174"/>
      <c r="D1174"/>
    </row>
    <row r="1175" spans="2:4" hidden="1" x14ac:dyDescent="0.35">
      <c r="B1175" s="57"/>
      <c r="C1175"/>
      <c r="D1175"/>
    </row>
    <row r="1176" spans="2:4" hidden="1" x14ac:dyDescent="0.35">
      <c r="B1176" s="57"/>
      <c r="C1176"/>
      <c r="D1176"/>
    </row>
    <row r="1177" spans="2:4" hidden="1" x14ac:dyDescent="0.35">
      <c r="B1177" s="57"/>
      <c r="C1177"/>
      <c r="D1177"/>
    </row>
    <row r="1178" spans="2:4" hidden="1" x14ac:dyDescent="0.35">
      <c r="B1178" s="57"/>
      <c r="C1178"/>
      <c r="D1178"/>
    </row>
    <row r="1179" spans="2:4" hidden="1" x14ac:dyDescent="0.35">
      <c r="B1179" s="57"/>
      <c r="C1179"/>
      <c r="D1179"/>
    </row>
    <row r="1180" spans="2:4" hidden="1" x14ac:dyDescent="0.35">
      <c r="B1180" s="57"/>
      <c r="C1180"/>
      <c r="D1180"/>
    </row>
    <row r="1181" spans="2:4" hidden="1" x14ac:dyDescent="0.35">
      <c r="B1181" s="57"/>
      <c r="C1181"/>
      <c r="D1181"/>
    </row>
    <row r="1182" spans="2:4" hidden="1" x14ac:dyDescent="0.35">
      <c r="B1182" s="57"/>
      <c r="C1182"/>
      <c r="D1182"/>
    </row>
    <row r="1183" spans="2:4" hidden="1" x14ac:dyDescent="0.35">
      <c r="B1183" s="57"/>
      <c r="C1183"/>
      <c r="D1183"/>
    </row>
    <row r="1184" spans="2:4" hidden="1" x14ac:dyDescent="0.35">
      <c r="B1184" s="57"/>
      <c r="C1184"/>
      <c r="D1184"/>
    </row>
    <row r="1185" spans="2:4" hidden="1" x14ac:dyDescent="0.35">
      <c r="B1185" s="57"/>
      <c r="C1185"/>
      <c r="D1185"/>
    </row>
    <row r="1186" spans="2:4" hidden="1" x14ac:dyDescent="0.35">
      <c r="B1186" s="57"/>
      <c r="C1186"/>
      <c r="D1186"/>
    </row>
    <row r="1187" spans="2:4" hidden="1" x14ac:dyDescent="0.35">
      <c r="B1187" s="57"/>
      <c r="C1187"/>
      <c r="D1187"/>
    </row>
    <row r="1188" spans="2:4" hidden="1" x14ac:dyDescent="0.35">
      <c r="B1188" s="57"/>
      <c r="C1188"/>
      <c r="D1188"/>
    </row>
    <row r="1189" spans="2:4" hidden="1" x14ac:dyDescent="0.35">
      <c r="B1189" s="57"/>
      <c r="C1189"/>
      <c r="D1189"/>
    </row>
    <row r="1190" spans="2:4" hidden="1" x14ac:dyDescent="0.35">
      <c r="B1190" s="57"/>
      <c r="C1190"/>
      <c r="D1190"/>
    </row>
    <row r="1191" spans="2:4" hidden="1" x14ac:dyDescent="0.35">
      <c r="B1191" s="57"/>
      <c r="C1191"/>
      <c r="D1191"/>
    </row>
    <row r="1192" spans="2:4" hidden="1" x14ac:dyDescent="0.35">
      <c r="B1192" s="57"/>
      <c r="C1192"/>
      <c r="D1192"/>
    </row>
    <row r="1193" spans="2:4" hidden="1" x14ac:dyDescent="0.35">
      <c r="B1193" s="57"/>
      <c r="C1193"/>
      <c r="D1193"/>
    </row>
    <row r="1194" spans="2:4" hidden="1" x14ac:dyDescent="0.35">
      <c r="B1194" s="57"/>
      <c r="C1194"/>
      <c r="D1194"/>
    </row>
    <row r="1195" spans="2:4" hidden="1" x14ac:dyDescent="0.35">
      <c r="B1195" s="57"/>
      <c r="C1195"/>
      <c r="D1195"/>
    </row>
    <row r="1196" spans="2:4" hidden="1" x14ac:dyDescent="0.35">
      <c r="B1196" s="57"/>
      <c r="C1196"/>
      <c r="D1196"/>
    </row>
    <row r="1197" spans="2:4" hidden="1" x14ac:dyDescent="0.35">
      <c r="B1197" s="57"/>
      <c r="C1197"/>
      <c r="D1197"/>
    </row>
    <row r="1198" spans="2:4" hidden="1" x14ac:dyDescent="0.35">
      <c r="B1198" s="57"/>
      <c r="C1198"/>
      <c r="D1198"/>
    </row>
    <row r="1199" spans="2:4" hidden="1" x14ac:dyDescent="0.35">
      <c r="B1199" s="57"/>
      <c r="C1199"/>
      <c r="D1199"/>
    </row>
    <row r="1200" spans="2:4" hidden="1" x14ac:dyDescent="0.35">
      <c r="B1200" s="57"/>
      <c r="C1200"/>
      <c r="D1200"/>
    </row>
    <row r="1201" spans="2:4" hidden="1" x14ac:dyDescent="0.35">
      <c r="B1201" s="57"/>
      <c r="C1201"/>
      <c r="D1201"/>
    </row>
    <row r="1202" spans="2:4" hidden="1" x14ac:dyDescent="0.35">
      <c r="B1202" s="57"/>
      <c r="C1202"/>
      <c r="D1202"/>
    </row>
    <row r="1203" spans="2:4" hidden="1" x14ac:dyDescent="0.35">
      <c r="B1203" s="57"/>
      <c r="C1203"/>
      <c r="D1203"/>
    </row>
    <row r="1204" spans="2:4" hidden="1" x14ac:dyDescent="0.35">
      <c r="B1204" s="57"/>
      <c r="C1204"/>
      <c r="D1204"/>
    </row>
    <row r="1205" spans="2:4" hidden="1" x14ac:dyDescent="0.35">
      <c r="B1205" s="57"/>
      <c r="C1205"/>
      <c r="D1205"/>
    </row>
    <row r="1206" spans="2:4" hidden="1" x14ac:dyDescent="0.35">
      <c r="B1206" s="57"/>
      <c r="C1206"/>
      <c r="D1206"/>
    </row>
    <row r="1207" spans="2:4" hidden="1" x14ac:dyDescent="0.35">
      <c r="B1207" s="57"/>
      <c r="C1207"/>
      <c r="D1207"/>
    </row>
    <row r="1208" spans="2:4" hidden="1" x14ac:dyDescent="0.35">
      <c r="B1208" s="57"/>
      <c r="C1208"/>
      <c r="D1208"/>
    </row>
    <row r="1209" spans="2:4" hidden="1" x14ac:dyDescent="0.35">
      <c r="B1209" s="57"/>
      <c r="C1209"/>
      <c r="D1209"/>
    </row>
    <row r="1210" spans="2:4" hidden="1" x14ac:dyDescent="0.35">
      <c r="B1210" s="57"/>
      <c r="C1210"/>
      <c r="D1210"/>
    </row>
    <row r="1211" spans="2:4" hidden="1" x14ac:dyDescent="0.35">
      <c r="B1211" s="57"/>
      <c r="C1211"/>
      <c r="D1211"/>
    </row>
    <row r="1212" spans="2:4" hidden="1" x14ac:dyDescent="0.35">
      <c r="B1212" s="57"/>
      <c r="C1212"/>
      <c r="D1212"/>
    </row>
    <row r="1213" spans="2:4" hidden="1" x14ac:dyDescent="0.35">
      <c r="B1213" s="57"/>
      <c r="C1213"/>
      <c r="D1213"/>
    </row>
    <row r="1214" spans="2:4" hidden="1" x14ac:dyDescent="0.35">
      <c r="B1214" s="57"/>
      <c r="C1214"/>
      <c r="D1214"/>
    </row>
    <row r="1215" spans="2:4" hidden="1" x14ac:dyDescent="0.35">
      <c r="B1215" s="57"/>
      <c r="C1215"/>
      <c r="D1215"/>
    </row>
    <row r="1216" spans="2:4" hidden="1" x14ac:dyDescent="0.35">
      <c r="B1216" s="57"/>
      <c r="C1216"/>
      <c r="D1216"/>
    </row>
    <row r="1217" spans="2:4" hidden="1" x14ac:dyDescent="0.35">
      <c r="B1217" s="57"/>
      <c r="C1217"/>
      <c r="D1217"/>
    </row>
    <row r="1218" spans="2:4" hidden="1" x14ac:dyDescent="0.35">
      <c r="B1218" s="57"/>
      <c r="C1218"/>
      <c r="D1218"/>
    </row>
    <row r="1219" spans="2:4" hidden="1" x14ac:dyDescent="0.35">
      <c r="B1219" s="57"/>
      <c r="C1219"/>
      <c r="D1219"/>
    </row>
    <row r="1220" spans="2:4" hidden="1" x14ac:dyDescent="0.35">
      <c r="B1220" s="57"/>
      <c r="C1220"/>
      <c r="D1220"/>
    </row>
    <row r="1221" spans="2:4" hidden="1" x14ac:dyDescent="0.35">
      <c r="B1221" s="57"/>
      <c r="C1221"/>
      <c r="D1221"/>
    </row>
    <row r="1222" spans="2:4" hidden="1" x14ac:dyDescent="0.35">
      <c r="B1222" s="57"/>
      <c r="C1222"/>
      <c r="D1222"/>
    </row>
    <row r="1223" spans="2:4" hidden="1" x14ac:dyDescent="0.35">
      <c r="B1223" s="57"/>
      <c r="C1223"/>
      <c r="D1223"/>
    </row>
    <row r="1224" spans="2:4" hidden="1" x14ac:dyDescent="0.35">
      <c r="B1224" s="57"/>
      <c r="C1224"/>
      <c r="D1224"/>
    </row>
    <row r="1225" spans="2:4" hidden="1" x14ac:dyDescent="0.35">
      <c r="B1225" s="57"/>
      <c r="C1225"/>
      <c r="D1225"/>
    </row>
    <row r="1226" spans="2:4" hidden="1" x14ac:dyDescent="0.35">
      <c r="B1226" s="57"/>
      <c r="C1226"/>
      <c r="D1226"/>
    </row>
    <row r="1227" spans="2:4" hidden="1" x14ac:dyDescent="0.35">
      <c r="B1227" s="57"/>
      <c r="C1227"/>
      <c r="D1227"/>
    </row>
    <row r="1228" spans="2:4" hidden="1" x14ac:dyDescent="0.35">
      <c r="B1228" s="57"/>
      <c r="C1228"/>
      <c r="D1228"/>
    </row>
    <row r="1229" spans="2:4" hidden="1" x14ac:dyDescent="0.35">
      <c r="B1229" s="57"/>
      <c r="C1229"/>
      <c r="D1229"/>
    </row>
    <row r="1230" spans="2:4" hidden="1" x14ac:dyDescent="0.35">
      <c r="B1230" s="57"/>
      <c r="C1230"/>
      <c r="D1230"/>
    </row>
    <row r="1231" spans="2:4" hidden="1" x14ac:dyDescent="0.35">
      <c r="B1231" s="57"/>
      <c r="C1231"/>
      <c r="D1231"/>
    </row>
    <row r="1232" spans="2:4" hidden="1" x14ac:dyDescent="0.35">
      <c r="B1232" s="57"/>
      <c r="C1232"/>
      <c r="D1232"/>
    </row>
    <row r="1233" spans="2:4" hidden="1" x14ac:dyDescent="0.35">
      <c r="B1233" s="57"/>
      <c r="C1233"/>
      <c r="D1233"/>
    </row>
    <row r="1234" spans="2:4" hidden="1" x14ac:dyDescent="0.35">
      <c r="B1234" s="57"/>
      <c r="C1234"/>
      <c r="D1234"/>
    </row>
    <row r="1235" spans="2:4" hidden="1" x14ac:dyDescent="0.35">
      <c r="B1235" s="57"/>
      <c r="C1235"/>
      <c r="D1235"/>
    </row>
    <row r="1236" spans="2:4" hidden="1" x14ac:dyDescent="0.35">
      <c r="B1236" s="57"/>
      <c r="C1236"/>
      <c r="D1236"/>
    </row>
    <row r="1237" spans="2:4" hidden="1" x14ac:dyDescent="0.35">
      <c r="B1237" s="57"/>
      <c r="C1237"/>
      <c r="D1237"/>
    </row>
    <row r="1238" spans="2:4" hidden="1" x14ac:dyDescent="0.35">
      <c r="B1238" s="57"/>
      <c r="C1238"/>
      <c r="D1238"/>
    </row>
    <row r="1239" spans="2:4" hidden="1" x14ac:dyDescent="0.35">
      <c r="B1239" s="57"/>
      <c r="C1239"/>
      <c r="D1239"/>
    </row>
    <row r="1240" spans="2:4" hidden="1" x14ac:dyDescent="0.35">
      <c r="B1240" s="57"/>
      <c r="C1240"/>
      <c r="D1240"/>
    </row>
    <row r="1241" spans="2:4" hidden="1" x14ac:dyDescent="0.35">
      <c r="B1241" s="57"/>
      <c r="C1241"/>
      <c r="D1241"/>
    </row>
    <row r="1242" spans="2:4" hidden="1" x14ac:dyDescent="0.35">
      <c r="B1242" s="57"/>
      <c r="C1242"/>
      <c r="D1242"/>
    </row>
    <row r="1243" spans="2:4" hidden="1" x14ac:dyDescent="0.35">
      <c r="B1243" s="57"/>
      <c r="C1243"/>
      <c r="D1243"/>
    </row>
    <row r="1244" spans="2:4" hidden="1" x14ac:dyDescent="0.35">
      <c r="B1244" s="57"/>
      <c r="C1244"/>
      <c r="D1244"/>
    </row>
    <row r="1245" spans="2:4" hidden="1" x14ac:dyDescent="0.35">
      <c r="B1245" s="57"/>
      <c r="C1245"/>
      <c r="D1245"/>
    </row>
    <row r="1246" spans="2:4" hidden="1" x14ac:dyDescent="0.35">
      <c r="B1246" s="57"/>
      <c r="C1246"/>
      <c r="D1246"/>
    </row>
    <row r="1247" spans="2:4" hidden="1" x14ac:dyDescent="0.35">
      <c r="B1247" s="57"/>
      <c r="C1247"/>
      <c r="D1247"/>
    </row>
    <row r="1248" spans="2:4" hidden="1" x14ac:dyDescent="0.35">
      <c r="B1248" s="57"/>
      <c r="C1248"/>
      <c r="D1248"/>
    </row>
    <row r="1249" spans="2:4" hidden="1" x14ac:dyDescent="0.35">
      <c r="B1249" s="57"/>
      <c r="C1249"/>
      <c r="D1249"/>
    </row>
    <row r="1250" spans="2:4" hidden="1" x14ac:dyDescent="0.35">
      <c r="B1250" s="57"/>
      <c r="C1250"/>
      <c r="D1250"/>
    </row>
    <row r="1251" spans="2:4" hidden="1" x14ac:dyDescent="0.35">
      <c r="B1251" s="57"/>
      <c r="C1251"/>
      <c r="D1251"/>
    </row>
    <row r="1252" spans="2:4" hidden="1" x14ac:dyDescent="0.35">
      <c r="B1252" s="57"/>
      <c r="C1252"/>
      <c r="D1252"/>
    </row>
    <row r="1253" spans="2:4" hidden="1" x14ac:dyDescent="0.35">
      <c r="B1253" s="57"/>
      <c r="C1253"/>
      <c r="D1253"/>
    </row>
    <row r="1254" spans="2:4" hidden="1" x14ac:dyDescent="0.35">
      <c r="B1254" s="57"/>
      <c r="C1254"/>
      <c r="D1254"/>
    </row>
    <row r="1255" spans="2:4" hidden="1" x14ac:dyDescent="0.35">
      <c r="B1255" s="57"/>
      <c r="C1255"/>
      <c r="D1255"/>
    </row>
    <row r="1256" spans="2:4" hidden="1" x14ac:dyDescent="0.35">
      <c r="B1256" s="57"/>
      <c r="C1256"/>
      <c r="D1256"/>
    </row>
    <row r="1257" spans="2:4" hidden="1" x14ac:dyDescent="0.35">
      <c r="B1257" s="57"/>
      <c r="C1257"/>
      <c r="D1257"/>
    </row>
    <row r="1258" spans="2:4" hidden="1" x14ac:dyDescent="0.35">
      <c r="B1258" s="57"/>
      <c r="C1258"/>
      <c r="D1258"/>
    </row>
    <row r="1259" spans="2:4" hidden="1" x14ac:dyDescent="0.35">
      <c r="B1259" s="57"/>
      <c r="C1259"/>
      <c r="D1259"/>
    </row>
    <row r="1260" spans="2:4" hidden="1" x14ac:dyDescent="0.35">
      <c r="B1260" s="57"/>
      <c r="C1260"/>
      <c r="D1260"/>
    </row>
    <row r="1261" spans="2:4" hidden="1" x14ac:dyDescent="0.35">
      <c r="B1261" s="57"/>
      <c r="C1261"/>
      <c r="D1261"/>
    </row>
    <row r="1262" spans="2:4" hidden="1" x14ac:dyDescent="0.35">
      <c r="B1262" s="57"/>
      <c r="C1262"/>
      <c r="D1262"/>
    </row>
    <row r="1263" spans="2:4" hidden="1" x14ac:dyDescent="0.35">
      <c r="B1263" s="57"/>
      <c r="C1263"/>
      <c r="D1263"/>
    </row>
    <row r="1264" spans="2:4" hidden="1" x14ac:dyDescent="0.35">
      <c r="B1264" s="57"/>
      <c r="C1264"/>
      <c r="D1264"/>
    </row>
    <row r="1265" spans="2:4" hidden="1" x14ac:dyDescent="0.35">
      <c r="B1265" s="57"/>
      <c r="C1265"/>
      <c r="D1265"/>
    </row>
    <row r="1266" spans="2:4" hidden="1" x14ac:dyDescent="0.35">
      <c r="B1266" s="57"/>
      <c r="C1266"/>
      <c r="D1266"/>
    </row>
    <row r="1267" spans="2:4" hidden="1" x14ac:dyDescent="0.35">
      <c r="B1267" s="57"/>
      <c r="C1267"/>
      <c r="D1267"/>
    </row>
    <row r="1268" spans="2:4" hidden="1" x14ac:dyDescent="0.35">
      <c r="B1268" s="57"/>
      <c r="C1268"/>
      <c r="D1268"/>
    </row>
    <row r="1269" spans="2:4" hidden="1" x14ac:dyDescent="0.35">
      <c r="B1269" s="57"/>
      <c r="C1269"/>
      <c r="D1269"/>
    </row>
    <row r="1270" spans="2:4" hidden="1" x14ac:dyDescent="0.35">
      <c r="B1270" s="57"/>
      <c r="C1270"/>
      <c r="D1270"/>
    </row>
    <row r="1271" spans="2:4" hidden="1" x14ac:dyDescent="0.35">
      <c r="B1271" s="57"/>
      <c r="C1271"/>
      <c r="D1271"/>
    </row>
    <row r="1272" spans="2:4" hidden="1" x14ac:dyDescent="0.35">
      <c r="B1272" s="57"/>
      <c r="C1272"/>
      <c r="D1272"/>
    </row>
    <row r="1273" spans="2:4" hidden="1" x14ac:dyDescent="0.35">
      <c r="B1273" s="57"/>
      <c r="C1273"/>
      <c r="D1273"/>
    </row>
    <row r="1274" spans="2:4" hidden="1" x14ac:dyDescent="0.35">
      <c r="B1274" s="57"/>
      <c r="C1274"/>
      <c r="D1274"/>
    </row>
    <row r="1275" spans="2:4" hidden="1" x14ac:dyDescent="0.35">
      <c r="B1275" s="57"/>
      <c r="C1275"/>
      <c r="D1275"/>
    </row>
    <row r="1276" spans="2:4" hidden="1" x14ac:dyDescent="0.35">
      <c r="B1276" s="57"/>
      <c r="C1276"/>
      <c r="D1276"/>
    </row>
    <row r="1277" spans="2:4" hidden="1" x14ac:dyDescent="0.35">
      <c r="B1277" s="57"/>
      <c r="C1277"/>
      <c r="D1277"/>
    </row>
    <row r="1278" spans="2:4" hidden="1" x14ac:dyDescent="0.35">
      <c r="B1278" s="57"/>
      <c r="C1278"/>
      <c r="D1278"/>
    </row>
    <row r="1279" spans="2:4" hidden="1" x14ac:dyDescent="0.35">
      <c r="B1279" s="57"/>
      <c r="C1279"/>
      <c r="D1279"/>
    </row>
    <row r="1280" spans="2:4" hidden="1" x14ac:dyDescent="0.35">
      <c r="B1280" s="57"/>
      <c r="C1280"/>
      <c r="D1280"/>
    </row>
    <row r="1281" spans="2:4" hidden="1" x14ac:dyDescent="0.35">
      <c r="B1281" s="57"/>
      <c r="C1281"/>
      <c r="D1281"/>
    </row>
    <row r="1282" spans="2:4" hidden="1" x14ac:dyDescent="0.35">
      <c r="B1282" s="57"/>
      <c r="C1282"/>
      <c r="D1282"/>
    </row>
    <row r="1283" spans="2:4" hidden="1" x14ac:dyDescent="0.35">
      <c r="B1283" s="57"/>
      <c r="C1283"/>
      <c r="D1283"/>
    </row>
    <row r="1284" spans="2:4" hidden="1" x14ac:dyDescent="0.35">
      <c r="B1284" s="57"/>
      <c r="C1284"/>
      <c r="D1284"/>
    </row>
    <row r="1285" spans="2:4" hidden="1" x14ac:dyDescent="0.35">
      <c r="B1285" s="57"/>
      <c r="C1285"/>
      <c r="D1285"/>
    </row>
    <row r="1286" spans="2:4" hidden="1" x14ac:dyDescent="0.35">
      <c r="B1286" s="57"/>
      <c r="C1286"/>
      <c r="D1286"/>
    </row>
    <row r="1287" spans="2:4" hidden="1" x14ac:dyDescent="0.35">
      <c r="B1287" s="57"/>
      <c r="C1287"/>
      <c r="D1287"/>
    </row>
    <row r="1288" spans="2:4" hidden="1" x14ac:dyDescent="0.35">
      <c r="B1288" s="57"/>
      <c r="C1288"/>
      <c r="D1288"/>
    </row>
    <row r="1289" spans="2:4" hidden="1" x14ac:dyDescent="0.35">
      <c r="B1289" s="57"/>
      <c r="C1289"/>
      <c r="D1289"/>
    </row>
    <row r="1290" spans="2:4" hidden="1" x14ac:dyDescent="0.35">
      <c r="B1290" s="57"/>
      <c r="C1290"/>
      <c r="D1290"/>
    </row>
    <row r="1291" spans="2:4" hidden="1" x14ac:dyDescent="0.35">
      <c r="B1291" s="57"/>
      <c r="C1291"/>
      <c r="D1291"/>
    </row>
    <row r="1292" spans="2:4" hidden="1" x14ac:dyDescent="0.35">
      <c r="B1292" s="57"/>
      <c r="C1292"/>
      <c r="D1292"/>
    </row>
    <row r="1293" spans="2:4" hidden="1" x14ac:dyDescent="0.35">
      <c r="B1293" s="57"/>
      <c r="C1293"/>
      <c r="D1293"/>
    </row>
    <row r="1294" spans="2:4" hidden="1" x14ac:dyDescent="0.35">
      <c r="B1294" s="57"/>
      <c r="C1294"/>
      <c r="D1294"/>
    </row>
    <row r="1295" spans="2:4" hidden="1" x14ac:dyDescent="0.35">
      <c r="B1295" s="57"/>
      <c r="C1295"/>
      <c r="D1295"/>
    </row>
    <row r="1296" spans="2:4" hidden="1" x14ac:dyDescent="0.35">
      <c r="B1296" s="57"/>
      <c r="C1296"/>
      <c r="D1296"/>
    </row>
    <row r="1297" spans="2:4" hidden="1" x14ac:dyDescent="0.35">
      <c r="B1297" s="57"/>
      <c r="C1297"/>
      <c r="D1297"/>
    </row>
    <row r="1298" spans="2:4" hidden="1" x14ac:dyDescent="0.35">
      <c r="B1298" s="57"/>
      <c r="C1298"/>
      <c r="D1298"/>
    </row>
    <row r="1299" spans="2:4" hidden="1" x14ac:dyDescent="0.35">
      <c r="B1299" s="57"/>
      <c r="C1299"/>
      <c r="D1299"/>
    </row>
    <row r="1300" spans="2:4" hidden="1" x14ac:dyDescent="0.35">
      <c r="B1300" s="57"/>
      <c r="C1300"/>
      <c r="D1300"/>
    </row>
    <row r="1301" spans="2:4" hidden="1" x14ac:dyDescent="0.35">
      <c r="B1301" s="57"/>
      <c r="C1301"/>
      <c r="D1301"/>
    </row>
    <row r="1302" spans="2:4" hidden="1" x14ac:dyDescent="0.35">
      <c r="B1302" s="57"/>
      <c r="C1302"/>
      <c r="D1302"/>
    </row>
    <row r="1303" spans="2:4" hidden="1" x14ac:dyDescent="0.35">
      <c r="B1303" s="57"/>
      <c r="C1303"/>
      <c r="D1303"/>
    </row>
    <row r="1304" spans="2:4" hidden="1" x14ac:dyDescent="0.35">
      <c r="B1304" s="57"/>
      <c r="C1304"/>
      <c r="D1304"/>
    </row>
    <row r="1305" spans="2:4" hidden="1" x14ac:dyDescent="0.35">
      <c r="B1305" s="57"/>
      <c r="C1305"/>
      <c r="D1305"/>
    </row>
    <row r="1306" spans="2:4" hidden="1" x14ac:dyDescent="0.35">
      <c r="B1306" s="57"/>
      <c r="C1306"/>
      <c r="D1306"/>
    </row>
    <row r="1307" spans="2:4" hidden="1" x14ac:dyDescent="0.35">
      <c r="B1307" s="57"/>
      <c r="C1307"/>
      <c r="D1307"/>
    </row>
    <row r="1308" spans="2:4" hidden="1" x14ac:dyDescent="0.35">
      <c r="B1308" s="57"/>
      <c r="C1308"/>
      <c r="D1308"/>
    </row>
    <row r="1309" spans="2:4" hidden="1" x14ac:dyDescent="0.35">
      <c r="B1309" s="57"/>
      <c r="C1309"/>
      <c r="D1309"/>
    </row>
    <row r="1310" spans="2:4" hidden="1" x14ac:dyDescent="0.35">
      <c r="B1310" s="57"/>
      <c r="C1310"/>
      <c r="D1310"/>
    </row>
    <row r="1311" spans="2:4" hidden="1" x14ac:dyDescent="0.35">
      <c r="B1311" s="57"/>
      <c r="C1311"/>
      <c r="D1311"/>
    </row>
    <row r="1312" spans="2:4" hidden="1" x14ac:dyDescent="0.35">
      <c r="B1312" s="57"/>
      <c r="C1312"/>
      <c r="D1312"/>
    </row>
    <row r="1313" spans="2:4" hidden="1" x14ac:dyDescent="0.35">
      <c r="B1313" s="57"/>
      <c r="C1313"/>
      <c r="D1313"/>
    </row>
    <row r="1314" spans="2:4" hidden="1" x14ac:dyDescent="0.35">
      <c r="B1314" s="57"/>
      <c r="C1314"/>
      <c r="D1314"/>
    </row>
    <row r="1315" spans="2:4" hidden="1" x14ac:dyDescent="0.35">
      <c r="B1315" s="57"/>
      <c r="C1315"/>
      <c r="D1315"/>
    </row>
    <row r="1316" spans="2:4" hidden="1" x14ac:dyDescent="0.35">
      <c r="B1316" s="57"/>
      <c r="C1316"/>
      <c r="D1316"/>
    </row>
    <row r="1317" spans="2:4" hidden="1" x14ac:dyDescent="0.35">
      <c r="B1317" s="57"/>
      <c r="C1317"/>
      <c r="D1317"/>
    </row>
    <row r="1318" spans="2:4" hidden="1" x14ac:dyDescent="0.35">
      <c r="B1318" s="57"/>
      <c r="C1318"/>
      <c r="D1318"/>
    </row>
    <row r="1319" spans="2:4" hidden="1" x14ac:dyDescent="0.35">
      <c r="B1319" s="57"/>
      <c r="C1319"/>
      <c r="D1319"/>
    </row>
    <row r="1320" spans="2:4" hidden="1" x14ac:dyDescent="0.35">
      <c r="B1320" s="57"/>
      <c r="C1320"/>
      <c r="D1320"/>
    </row>
    <row r="1321" spans="2:4" hidden="1" x14ac:dyDescent="0.35">
      <c r="B1321" s="57"/>
      <c r="C1321"/>
      <c r="D1321"/>
    </row>
    <row r="1322" spans="2:4" hidden="1" x14ac:dyDescent="0.35">
      <c r="B1322" s="57"/>
      <c r="C1322"/>
      <c r="D1322"/>
    </row>
    <row r="1323" spans="2:4" hidden="1" x14ac:dyDescent="0.35">
      <c r="B1323" s="57"/>
      <c r="C1323"/>
      <c r="D1323"/>
    </row>
    <row r="1324" spans="2:4" hidden="1" x14ac:dyDescent="0.35">
      <c r="B1324" s="57"/>
      <c r="C1324"/>
      <c r="D1324"/>
    </row>
    <row r="1325" spans="2:4" hidden="1" x14ac:dyDescent="0.35">
      <c r="B1325" s="57"/>
      <c r="C1325"/>
      <c r="D1325"/>
    </row>
    <row r="1326" spans="2:4" hidden="1" x14ac:dyDescent="0.35">
      <c r="B1326" s="57"/>
      <c r="C1326"/>
      <c r="D1326"/>
    </row>
    <row r="1327" spans="2:4" hidden="1" x14ac:dyDescent="0.35">
      <c r="B1327" s="57"/>
      <c r="C1327"/>
      <c r="D1327"/>
    </row>
    <row r="1328" spans="2:4" hidden="1" x14ac:dyDescent="0.35">
      <c r="B1328" s="57"/>
      <c r="C1328"/>
      <c r="D1328"/>
    </row>
    <row r="1329" spans="2:4" hidden="1" x14ac:dyDescent="0.35">
      <c r="B1329" s="57"/>
      <c r="C1329"/>
      <c r="D1329"/>
    </row>
    <row r="1330" spans="2:4" hidden="1" x14ac:dyDescent="0.35">
      <c r="B1330" s="57"/>
      <c r="C1330"/>
      <c r="D1330"/>
    </row>
    <row r="1331" spans="2:4" hidden="1" x14ac:dyDescent="0.35">
      <c r="B1331" s="57"/>
      <c r="C1331"/>
      <c r="D1331"/>
    </row>
    <row r="1332" spans="2:4" hidden="1" x14ac:dyDescent="0.35">
      <c r="B1332" s="57"/>
      <c r="C1332"/>
      <c r="D1332"/>
    </row>
    <row r="1333" spans="2:4" hidden="1" x14ac:dyDescent="0.35">
      <c r="B1333" s="57"/>
      <c r="C1333"/>
      <c r="D1333"/>
    </row>
    <row r="1334" spans="2:4" hidden="1" x14ac:dyDescent="0.35">
      <c r="B1334" s="57"/>
      <c r="C1334"/>
      <c r="D1334"/>
    </row>
    <row r="1335" spans="2:4" hidden="1" x14ac:dyDescent="0.35">
      <c r="B1335" s="57"/>
      <c r="C1335"/>
      <c r="D1335"/>
    </row>
    <row r="1336" spans="2:4" hidden="1" x14ac:dyDescent="0.35">
      <c r="B1336" s="57"/>
      <c r="C1336"/>
      <c r="D1336"/>
    </row>
    <row r="1337" spans="2:4" hidden="1" x14ac:dyDescent="0.35">
      <c r="B1337" s="57"/>
      <c r="C1337"/>
      <c r="D1337"/>
    </row>
    <row r="1338" spans="2:4" hidden="1" x14ac:dyDescent="0.35">
      <c r="B1338" s="57"/>
      <c r="C1338"/>
      <c r="D1338"/>
    </row>
    <row r="1339" spans="2:4" hidden="1" x14ac:dyDescent="0.35">
      <c r="B1339" s="57"/>
      <c r="C1339"/>
      <c r="D1339"/>
    </row>
    <row r="1340" spans="2:4" hidden="1" x14ac:dyDescent="0.35">
      <c r="B1340" s="57"/>
      <c r="C1340"/>
      <c r="D1340"/>
    </row>
    <row r="1341" spans="2:4" hidden="1" x14ac:dyDescent="0.35">
      <c r="B1341" s="57"/>
      <c r="C1341"/>
      <c r="D1341"/>
    </row>
    <row r="1342" spans="2:4" hidden="1" x14ac:dyDescent="0.35">
      <c r="B1342" s="57"/>
      <c r="C1342"/>
      <c r="D1342"/>
    </row>
    <row r="1343" spans="2:4" hidden="1" x14ac:dyDescent="0.35">
      <c r="B1343" s="57"/>
      <c r="C1343"/>
      <c r="D1343"/>
    </row>
    <row r="1344" spans="2:4" hidden="1" x14ac:dyDescent="0.35">
      <c r="B1344" s="57"/>
      <c r="C1344"/>
      <c r="D1344"/>
    </row>
    <row r="1345" spans="2:4" hidden="1" x14ac:dyDescent="0.35">
      <c r="B1345" s="57"/>
      <c r="C1345"/>
      <c r="D1345"/>
    </row>
    <row r="1346" spans="2:4" hidden="1" x14ac:dyDescent="0.35">
      <c r="B1346" s="57"/>
      <c r="C1346"/>
      <c r="D1346"/>
    </row>
    <row r="1347" spans="2:4" hidden="1" x14ac:dyDescent="0.35">
      <c r="B1347" s="57"/>
      <c r="C1347"/>
      <c r="D1347"/>
    </row>
    <row r="1348" spans="2:4" hidden="1" x14ac:dyDescent="0.35">
      <c r="B1348" s="57"/>
      <c r="C1348"/>
      <c r="D1348"/>
    </row>
    <row r="1349" spans="2:4" hidden="1" x14ac:dyDescent="0.35">
      <c r="B1349" s="57"/>
      <c r="C1349"/>
      <c r="D1349"/>
    </row>
    <row r="1350" spans="2:4" hidden="1" x14ac:dyDescent="0.35">
      <c r="B1350" s="57"/>
      <c r="C1350"/>
      <c r="D1350"/>
    </row>
    <row r="1351" spans="2:4" hidden="1" x14ac:dyDescent="0.35">
      <c r="B1351" s="57"/>
      <c r="C1351"/>
      <c r="D1351"/>
    </row>
    <row r="1352" spans="2:4" hidden="1" x14ac:dyDescent="0.35">
      <c r="B1352" s="57"/>
      <c r="C1352"/>
      <c r="D1352"/>
    </row>
    <row r="1353" spans="2:4" hidden="1" x14ac:dyDescent="0.35">
      <c r="B1353" s="57"/>
      <c r="C1353"/>
      <c r="D1353"/>
    </row>
    <row r="1354" spans="2:4" hidden="1" x14ac:dyDescent="0.35">
      <c r="B1354" s="57"/>
      <c r="C1354"/>
      <c r="D1354"/>
    </row>
    <row r="1355" spans="2:4" hidden="1" x14ac:dyDescent="0.35">
      <c r="B1355" s="57"/>
      <c r="C1355"/>
      <c r="D1355"/>
    </row>
    <row r="1356" spans="2:4" hidden="1" x14ac:dyDescent="0.35">
      <c r="B1356" s="57"/>
      <c r="C1356"/>
      <c r="D1356"/>
    </row>
    <row r="1357" spans="2:4" hidden="1" x14ac:dyDescent="0.35">
      <c r="B1357" s="57"/>
      <c r="C1357"/>
      <c r="D1357"/>
    </row>
    <row r="1358" spans="2:4" hidden="1" x14ac:dyDescent="0.35">
      <c r="B1358" s="57"/>
      <c r="C1358"/>
      <c r="D1358"/>
    </row>
    <row r="1359" spans="2:4" hidden="1" x14ac:dyDescent="0.35">
      <c r="B1359" s="57"/>
      <c r="C1359"/>
      <c r="D1359"/>
    </row>
    <row r="1360" spans="2:4" hidden="1" x14ac:dyDescent="0.35">
      <c r="B1360" s="57"/>
      <c r="C1360"/>
      <c r="D1360"/>
    </row>
    <row r="1361" spans="2:4" hidden="1" x14ac:dyDescent="0.35">
      <c r="B1361" s="57"/>
      <c r="C1361"/>
      <c r="D1361"/>
    </row>
    <row r="1362" spans="2:4" hidden="1" x14ac:dyDescent="0.35">
      <c r="B1362" s="57"/>
      <c r="C1362"/>
      <c r="D1362"/>
    </row>
    <row r="1363" spans="2:4" hidden="1" x14ac:dyDescent="0.35">
      <c r="B1363" s="57"/>
      <c r="C1363"/>
      <c r="D1363"/>
    </row>
    <row r="1364" spans="2:4" hidden="1" x14ac:dyDescent="0.35">
      <c r="B1364" s="57"/>
      <c r="C1364"/>
      <c r="D1364"/>
    </row>
    <row r="1365" spans="2:4" hidden="1" x14ac:dyDescent="0.35">
      <c r="B1365" s="57"/>
      <c r="C1365"/>
      <c r="D1365"/>
    </row>
    <row r="1366" spans="2:4" hidden="1" x14ac:dyDescent="0.35">
      <c r="B1366" s="57"/>
      <c r="C1366"/>
      <c r="D1366"/>
    </row>
    <row r="1367" spans="2:4" hidden="1" x14ac:dyDescent="0.35">
      <c r="B1367" s="57"/>
      <c r="C1367"/>
      <c r="D1367"/>
    </row>
    <row r="1368" spans="2:4" hidden="1" x14ac:dyDescent="0.35">
      <c r="B1368" s="57"/>
      <c r="C1368"/>
      <c r="D1368"/>
    </row>
    <row r="1369" spans="2:4" hidden="1" x14ac:dyDescent="0.35">
      <c r="B1369" s="57"/>
      <c r="C1369"/>
      <c r="D1369"/>
    </row>
    <row r="1370" spans="2:4" hidden="1" x14ac:dyDescent="0.35">
      <c r="B1370" s="57"/>
      <c r="C1370"/>
      <c r="D1370"/>
    </row>
    <row r="1371" spans="2:4" hidden="1" x14ac:dyDescent="0.35">
      <c r="B1371" s="57"/>
      <c r="C1371"/>
      <c r="D1371"/>
    </row>
    <row r="1372" spans="2:4" hidden="1" x14ac:dyDescent="0.35">
      <c r="B1372" s="57"/>
      <c r="C1372"/>
      <c r="D1372"/>
    </row>
    <row r="1373" spans="2:4" hidden="1" x14ac:dyDescent="0.35">
      <c r="B1373" s="57"/>
      <c r="C1373"/>
      <c r="D1373"/>
    </row>
    <row r="1374" spans="2:4" hidden="1" x14ac:dyDescent="0.35">
      <c r="B1374" s="57"/>
      <c r="C1374"/>
      <c r="D1374"/>
    </row>
    <row r="1375" spans="2:4" hidden="1" x14ac:dyDescent="0.35">
      <c r="B1375" s="57"/>
      <c r="C1375"/>
      <c r="D1375"/>
    </row>
    <row r="1376" spans="2:4" hidden="1" x14ac:dyDescent="0.35">
      <c r="B1376" s="57"/>
      <c r="C1376"/>
      <c r="D1376"/>
    </row>
    <row r="1377" spans="2:4" hidden="1" x14ac:dyDescent="0.35">
      <c r="B1377" s="57"/>
      <c r="C1377"/>
      <c r="D1377"/>
    </row>
    <row r="1378" spans="2:4" hidden="1" x14ac:dyDescent="0.35">
      <c r="B1378" s="57"/>
      <c r="C1378"/>
      <c r="D1378"/>
    </row>
    <row r="1379" spans="2:4" hidden="1" x14ac:dyDescent="0.35">
      <c r="B1379" s="57"/>
      <c r="C1379"/>
      <c r="D1379"/>
    </row>
    <row r="1380" spans="2:4" hidden="1" x14ac:dyDescent="0.35">
      <c r="B1380" s="57"/>
      <c r="C1380"/>
      <c r="D1380"/>
    </row>
    <row r="1381" spans="2:4" hidden="1" x14ac:dyDescent="0.35">
      <c r="B1381" s="57"/>
      <c r="C1381"/>
      <c r="D1381"/>
    </row>
    <row r="1382" spans="2:4" hidden="1" x14ac:dyDescent="0.35">
      <c r="B1382" s="57"/>
      <c r="C1382"/>
      <c r="D1382"/>
    </row>
    <row r="1383" spans="2:4" hidden="1" x14ac:dyDescent="0.35">
      <c r="B1383" s="57"/>
      <c r="C1383"/>
      <c r="D1383"/>
    </row>
    <row r="1384" spans="2:4" hidden="1" x14ac:dyDescent="0.35">
      <c r="B1384" s="57"/>
      <c r="C1384"/>
      <c r="D1384"/>
    </row>
    <row r="1385" spans="2:4" hidden="1" x14ac:dyDescent="0.35">
      <c r="B1385" s="57"/>
      <c r="C1385"/>
      <c r="D1385"/>
    </row>
    <row r="1386" spans="2:4" hidden="1" x14ac:dyDescent="0.35">
      <c r="B1386" s="57"/>
      <c r="C1386"/>
      <c r="D1386"/>
    </row>
    <row r="1387" spans="2:4" hidden="1" x14ac:dyDescent="0.35">
      <c r="B1387" s="57"/>
      <c r="C1387"/>
      <c r="D1387"/>
    </row>
    <row r="1388" spans="2:4" hidden="1" x14ac:dyDescent="0.35">
      <c r="B1388" s="57"/>
      <c r="C1388"/>
      <c r="D1388"/>
    </row>
    <row r="1389" spans="2:4" hidden="1" x14ac:dyDescent="0.35">
      <c r="B1389" s="57"/>
      <c r="C1389"/>
      <c r="D1389"/>
    </row>
    <row r="1390" spans="2:4" hidden="1" x14ac:dyDescent="0.35">
      <c r="B1390" s="57"/>
      <c r="C1390"/>
      <c r="D1390"/>
    </row>
    <row r="1391" spans="2:4" hidden="1" x14ac:dyDescent="0.35">
      <c r="B1391" s="57"/>
      <c r="C1391"/>
      <c r="D1391"/>
    </row>
    <row r="1392" spans="2:4" hidden="1" x14ac:dyDescent="0.35">
      <c r="B1392" s="57"/>
      <c r="C1392"/>
      <c r="D1392"/>
    </row>
    <row r="1393" spans="2:4" hidden="1" x14ac:dyDescent="0.35">
      <c r="B1393" s="57"/>
      <c r="C1393"/>
      <c r="D1393"/>
    </row>
    <row r="1394" spans="2:4" hidden="1" x14ac:dyDescent="0.35">
      <c r="B1394" s="57"/>
      <c r="C1394"/>
      <c r="D1394"/>
    </row>
    <row r="1395" spans="2:4" hidden="1" x14ac:dyDescent="0.35">
      <c r="B1395" s="57"/>
      <c r="C1395"/>
      <c r="D1395"/>
    </row>
    <row r="1396" spans="2:4" hidden="1" x14ac:dyDescent="0.35">
      <c r="B1396" s="57"/>
      <c r="C1396"/>
      <c r="D1396"/>
    </row>
    <row r="1397" spans="2:4" hidden="1" x14ac:dyDescent="0.35">
      <c r="B1397" s="57"/>
      <c r="C1397"/>
      <c r="D1397"/>
    </row>
    <row r="1398" spans="2:4" hidden="1" x14ac:dyDescent="0.35">
      <c r="B1398" s="57"/>
      <c r="C1398"/>
      <c r="D1398"/>
    </row>
    <row r="1399" spans="2:4" hidden="1" x14ac:dyDescent="0.35">
      <c r="B1399" s="57"/>
      <c r="C1399"/>
      <c r="D1399"/>
    </row>
    <row r="1400" spans="2:4" hidden="1" x14ac:dyDescent="0.35">
      <c r="B1400" s="57"/>
      <c r="C1400"/>
      <c r="D1400"/>
    </row>
    <row r="1401" spans="2:4" hidden="1" x14ac:dyDescent="0.35">
      <c r="B1401" s="57"/>
      <c r="C1401"/>
      <c r="D1401"/>
    </row>
    <row r="1402" spans="2:4" hidden="1" x14ac:dyDescent="0.35">
      <c r="B1402" s="57"/>
      <c r="C1402"/>
      <c r="D1402"/>
    </row>
    <row r="1403" spans="2:4" hidden="1" x14ac:dyDescent="0.35">
      <c r="B1403" s="57"/>
      <c r="C1403"/>
      <c r="D1403"/>
    </row>
    <row r="1404" spans="2:4" hidden="1" x14ac:dyDescent="0.35">
      <c r="B1404" s="57"/>
      <c r="C1404"/>
      <c r="D1404"/>
    </row>
    <row r="1405" spans="2:4" hidden="1" x14ac:dyDescent="0.35">
      <c r="B1405" s="57"/>
      <c r="C1405"/>
      <c r="D1405"/>
    </row>
    <row r="1406" spans="2:4" hidden="1" x14ac:dyDescent="0.35">
      <c r="B1406" s="57"/>
      <c r="C1406"/>
      <c r="D1406"/>
    </row>
    <row r="1407" spans="2:4" hidden="1" x14ac:dyDescent="0.35">
      <c r="B1407" s="57"/>
      <c r="C1407"/>
      <c r="D1407"/>
    </row>
    <row r="1408" spans="2:4" hidden="1" x14ac:dyDescent="0.35">
      <c r="B1408" s="57"/>
      <c r="C1408"/>
      <c r="D1408"/>
    </row>
    <row r="1409" spans="2:4" hidden="1" x14ac:dyDescent="0.35">
      <c r="B1409" s="57"/>
      <c r="C1409"/>
      <c r="D1409"/>
    </row>
    <row r="1410" spans="2:4" hidden="1" x14ac:dyDescent="0.35">
      <c r="B1410" s="57"/>
      <c r="C1410"/>
      <c r="D1410"/>
    </row>
    <row r="1411" spans="2:4" hidden="1" x14ac:dyDescent="0.35">
      <c r="B1411" s="57"/>
      <c r="C1411"/>
      <c r="D1411"/>
    </row>
    <row r="1412" spans="2:4" hidden="1" x14ac:dyDescent="0.35">
      <c r="B1412" s="57"/>
      <c r="C1412"/>
      <c r="D1412"/>
    </row>
    <row r="1413" spans="2:4" hidden="1" x14ac:dyDescent="0.35">
      <c r="B1413" s="57"/>
      <c r="C1413"/>
      <c r="D1413"/>
    </row>
    <row r="1414" spans="2:4" hidden="1" x14ac:dyDescent="0.35">
      <c r="B1414" s="57"/>
      <c r="C1414"/>
      <c r="D1414"/>
    </row>
    <row r="1415" spans="2:4" hidden="1" x14ac:dyDescent="0.35">
      <c r="B1415" s="57"/>
      <c r="C1415"/>
      <c r="D1415"/>
    </row>
    <row r="1416" spans="2:4" hidden="1" x14ac:dyDescent="0.35">
      <c r="B1416" s="57"/>
      <c r="C1416"/>
      <c r="D1416"/>
    </row>
    <row r="1417" spans="2:4" hidden="1" x14ac:dyDescent="0.35">
      <c r="B1417" s="57"/>
      <c r="C1417"/>
      <c r="D1417"/>
    </row>
    <row r="1418" spans="2:4" hidden="1" x14ac:dyDescent="0.35">
      <c r="B1418" s="57"/>
      <c r="C1418"/>
      <c r="D1418"/>
    </row>
    <row r="1419" spans="2:4" hidden="1" x14ac:dyDescent="0.35">
      <c r="B1419" s="57"/>
      <c r="C1419"/>
      <c r="D1419"/>
    </row>
    <row r="1420" spans="2:4" hidden="1" x14ac:dyDescent="0.35">
      <c r="B1420" s="57"/>
      <c r="C1420"/>
      <c r="D1420"/>
    </row>
    <row r="1421" spans="2:4" hidden="1" x14ac:dyDescent="0.35">
      <c r="B1421" s="57"/>
      <c r="C1421"/>
      <c r="D1421"/>
    </row>
    <row r="1422" spans="2:4" hidden="1" x14ac:dyDescent="0.35">
      <c r="B1422" s="57"/>
      <c r="C1422"/>
      <c r="D1422"/>
    </row>
    <row r="1423" spans="2:4" hidden="1" x14ac:dyDescent="0.35">
      <c r="B1423" s="57"/>
      <c r="C1423"/>
      <c r="D1423"/>
    </row>
    <row r="1424" spans="2:4" hidden="1" x14ac:dyDescent="0.35">
      <c r="B1424" s="57"/>
      <c r="C1424"/>
      <c r="D1424"/>
    </row>
    <row r="1425" spans="2:4" hidden="1" x14ac:dyDescent="0.35">
      <c r="B1425" s="57"/>
      <c r="C1425"/>
      <c r="D1425"/>
    </row>
    <row r="1426" spans="2:4" hidden="1" x14ac:dyDescent="0.35">
      <c r="B1426" s="57"/>
      <c r="C1426"/>
      <c r="D1426"/>
    </row>
    <row r="1427" spans="2:4" hidden="1" x14ac:dyDescent="0.35">
      <c r="B1427" s="57"/>
      <c r="C1427"/>
      <c r="D1427"/>
    </row>
    <row r="1428" spans="2:4" hidden="1" x14ac:dyDescent="0.35">
      <c r="B1428" s="57"/>
      <c r="C1428"/>
      <c r="D1428"/>
    </row>
    <row r="1429" spans="2:4" hidden="1" x14ac:dyDescent="0.35">
      <c r="B1429" s="57"/>
      <c r="C1429"/>
      <c r="D1429"/>
    </row>
    <row r="1430" spans="2:4" hidden="1" x14ac:dyDescent="0.35">
      <c r="B1430" s="57"/>
      <c r="C1430"/>
      <c r="D1430"/>
    </row>
    <row r="1431" spans="2:4" hidden="1" x14ac:dyDescent="0.35">
      <c r="B1431" s="57"/>
      <c r="C1431"/>
      <c r="D1431"/>
    </row>
    <row r="1432" spans="2:4" hidden="1" x14ac:dyDescent="0.35">
      <c r="B1432" s="57"/>
      <c r="C1432"/>
      <c r="D1432"/>
    </row>
    <row r="1433" spans="2:4" hidden="1" x14ac:dyDescent="0.35">
      <c r="B1433" s="57"/>
      <c r="C1433"/>
      <c r="D1433"/>
    </row>
    <row r="1434" spans="2:4" hidden="1" x14ac:dyDescent="0.35">
      <c r="B1434" s="57"/>
      <c r="C1434"/>
      <c r="D1434"/>
    </row>
    <row r="1435" spans="2:4" hidden="1" x14ac:dyDescent="0.35">
      <c r="B1435" s="57"/>
      <c r="C1435"/>
      <c r="D1435"/>
    </row>
    <row r="1436" spans="2:4" hidden="1" x14ac:dyDescent="0.35">
      <c r="B1436" s="57"/>
      <c r="C1436"/>
      <c r="D1436"/>
    </row>
    <row r="1437" spans="2:4" hidden="1" x14ac:dyDescent="0.35">
      <c r="B1437" s="57"/>
      <c r="C1437"/>
      <c r="D1437"/>
    </row>
    <row r="1438" spans="2:4" hidden="1" x14ac:dyDescent="0.35">
      <c r="B1438" s="57"/>
      <c r="C1438"/>
      <c r="D1438"/>
    </row>
    <row r="1439" spans="2:4" hidden="1" x14ac:dyDescent="0.35">
      <c r="B1439" s="57"/>
      <c r="C1439"/>
      <c r="D1439"/>
    </row>
    <row r="1440" spans="2:4" hidden="1" x14ac:dyDescent="0.35">
      <c r="B1440" s="57"/>
      <c r="C1440"/>
      <c r="D1440"/>
    </row>
    <row r="1441" spans="2:4" hidden="1" x14ac:dyDescent="0.35">
      <c r="B1441" s="57"/>
      <c r="C1441"/>
      <c r="D1441"/>
    </row>
    <row r="1442" spans="2:4" hidden="1" x14ac:dyDescent="0.35">
      <c r="B1442" s="57"/>
      <c r="C1442"/>
      <c r="D1442"/>
    </row>
    <row r="1443" spans="2:4" hidden="1" x14ac:dyDescent="0.35">
      <c r="B1443" s="57"/>
      <c r="C1443"/>
      <c r="D1443"/>
    </row>
    <row r="1444" spans="2:4" hidden="1" x14ac:dyDescent="0.35">
      <c r="B1444" s="57"/>
      <c r="C1444"/>
      <c r="D1444"/>
    </row>
    <row r="1445" spans="2:4" hidden="1" x14ac:dyDescent="0.35">
      <c r="B1445" s="57"/>
      <c r="C1445"/>
      <c r="D1445"/>
    </row>
    <row r="1446" spans="2:4" hidden="1" x14ac:dyDescent="0.35">
      <c r="B1446" s="57"/>
      <c r="C1446"/>
      <c r="D1446"/>
    </row>
    <row r="1447" spans="2:4" hidden="1" x14ac:dyDescent="0.35">
      <c r="B1447" s="57"/>
      <c r="C1447"/>
      <c r="D1447"/>
    </row>
    <row r="1448" spans="2:4" hidden="1" x14ac:dyDescent="0.35">
      <c r="B1448" s="57"/>
      <c r="C1448"/>
      <c r="D1448"/>
    </row>
    <row r="1449" spans="2:4" hidden="1" x14ac:dyDescent="0.35">
      <c r="B1449" s="57"/>
      <c r="C1449"/>
      <c r="D1449"/>
    </row>
    <row r="1450" spans="2:4" hidden="1" x14ac:dyDescent="0.35">
      <c r="B1450" s="57"/>
      <c r="C1450"/>
      <c r="D1450"/>
    </row>
    <row r="1451" spans="2:4" hidden="1" x14ac:dyDescent="0.35">
      <c r="B1451" s="57"/>
      <c r="C1451"/>
      <c r="D1451"/>
    </row>
    <row r="1452" spans="2:4" hidden="1" x14ac:dyDescent="0.35">
      <c r="B1452" s="57"/>
      <c r="C1452"/>
      <c r="D1452"/>
    </row>
    <row r="1453" spans="2:4" hidden="1" x14ac:dyDescent="0.35">
      <c r="B1453" s="57"/>
      <c r="C1453"/>
      <c r="D1453"/>
    </row>
    <row r="1454" spans="2:4" hidden="1" x14ac:dyDescent="0.35">
      <c r="B1454" s="57"/>
      <c r="C1454"/>
      <c r="D1454"/>
    </row>
    <row r="1455" spans="2:4" hidden="1" x14ac:dyDescent="0.35">
      <c r="B1455" s="57"/>
      <c r="C1455"/>
      <c r="D1455"/>
    </row>
    <row r="1456" spans="2:4" hidden="1" x14ac:dyDescent="0.35">
      <c r="B1456" s="57"/>
      <c r="C1456"/>
      <c r="D1456"/>
    </row>
    <row r="1457" spans="2:4" hidden="1" x14ac:dyDescent="0.35">
      <c r="B1457" s="57"/>
      <c r="C1457"/>
      <c r="D1457"/>
    </row>
    <row r="1458" spans="2:4" hidden="1" x14ac:dyDescent="0.35">
      <c r="B1458" s="57"/>
      <c r="C1458"/>
      <c r="D1458"/>
    </row>
    <row r="1459" spans="2:4" hidden="1" x14ac:dyDescent="0.35">
      <c r="B1459" s="57"/>
      <c r="C1459"/>
      <c r="D1459"/>
    </row>
    <row r="1460" spans="2:4" hidden="1" x14ac:dyDescent="0.35">
      <c r="B1460" s="57"/>
      <c r="C1460"/>
      <c r="D1460"/>
    </row>
    <row r="1461" spans="2:4" hidden="1" x14ac:dyDescent="0.35">
      <c r="B1461" s="57"/>
      <c r="C1461"/>
      <c r="D1461"/>
    </row>
    <row r="1462" spans="2:4" hidden="1" x14ac:dyDescent="0.35">
      <c r="B1462" s="57"/>
      <c r="C1462"/>
      <c r="D1462"/>
    </row>
    <row r="1463" spans="2:4" hidden="1" x14ac:dyDescent="0.35">
      <c r="B1463" s="57"/>
      <c r="C1463"/>
      <c r="D1463"/>
    </row>
    <row r="1464" spans="2:4" hidden="1" x14ac:dyDescent="0.35">
      <c r="B1464" s="57"/>
      <c r="C1464"/>
      <c r="D1464"/>
    </row>
    <row r="1465" spans="2:4" hidden="1" x14ac:dyDescent="0.35">
      <c r="B1465" s="57"/>
      <c r="C1465"/>
      <c r="D1465"/>
    </row>
    <row r="1466" spans="2:4" hidden="1" x14ac:dyDescent="0.35">
      <c r="B1466" s="57"/>
      <c r="C1466"/>
      <c r="D1466"/>
    </row>
    <row r="1467" spans="2:4" hidden="1" x14ac:dyDescent="0.35">
      <c r="B1467" s="57"/>
      <c r="C1467"/>
      <c r="D1467"/>
    </row>
    <row r="1468" spans="2:4" hidden="1" x14ac:dyDescent="0.35">
      <c r="B1468" s="57"/>
      <c r="C1468"/>
      <c r="D1468"/>
    </row>
    <row r="1469" spans="2:4" hidden="1" x14ac:dyDescent="0.35">
      <c r="B1469" s="57"/>
      <c r="C1469"/>
      <c r="D1469"/>
    </row>
    <row r="1470" spans="2:4" hidden="1" x14ac:dyDescent="0.35">
      <c r="B1470" s="57"/>
      <c r="C1470"/>
      <c r="D1470"/>
    </row>
    <row r="1471" spans="2:4" hidden="1" x14ac:dyDescent="0.35">
      <c r="B1471" s="57"/>
      <c r="C1471"/>
      <c r="D1471"/>
    </row>
    <row r="1472" spans="2:4" hidden="1" x14ac:dyDescent="0.35">
      <c r="B1472" s="57"/>
      <c r="C1472"/>
      <c r="D1472"/>
    </row>
    <row r="1473" spans="2:4" hidden="1" x14ac:dyDescent="0.35">
      <c r="B1473" s="57"/>
      <c r="C1473"/>
      <c r="D1473"/>
    </row>
    <row r="1474" spans="2:4" hidden="1" x14ac:dyDescent="0.35">
      <c r="B1474" s="57"/>
      <c r="C1474"/>
      <c r="D1474"/>
    </row>
    <row r="1475" spans="2:4" hidden="1" x14ac:dyDescent="0.35">
      <c r="B1475" s="57"/>
      <c r="C1475"/>
      <c r="D1475"/>
    </row>
    <row r="1476" spans="2:4" hidden="1" x14ac:dyDescent="0.35">
      <c r="B1476" s="57"/>
      <c r="C1476"/>
      <c r="D1476"/>
    </row>
    <row r="1477" spans="2:4" hidden="1" x14ac:dyDescent="0.35">
      <c r="B1477" s="57"/>
      <c r="C1477"/>
      <c r="D1477"/>
    </row>
    <row r="1478" spans="2:4" hidden="1" x14ac:dyDescent="0.35">
      <c r="B1478" s="57"/>
      <c r="C1478"/>
      <c r="D1478"/>
    </row>
    <row r="1479" spans="2:4" hidden="1" x14ac:dyDescent="0.35">
      <c r="B1479" s="57"/>
      <c r="C1479"/>
      <c r="D1479"/>
    </row>
    <row r="1480" spans="2:4" hidden="1" x14ac:dyDescent="0.35">
      <c r="B1480" s="57"/>
      <c r="C1480"/>
      <c r="D1480"/>
    </row>
    <row r="1481" spans="2:4" hidden="1" x14ac:dyDescent="0.35">
      <c r="B1481" s="57"/>
      <c r="C1481"/>
      <c r="D1481"/>
    </row>
    <row r="1482" spans="2:4" hidden="1" x14ac:dyDescent="0.35">
      <c r="B1482" s="57"/>
      <c r="C1482"/>
      <c r="D1482"/>
    </row>
    <row r="1483" spans="2:4" hidden="1" x14ac:dyDescent="0.35">
      <c r="B1483" s="57"/>
      <c r="C1483"/>
      <c r="D1483"/>
    </row>
    <row r="1484" spans="2:4" hidden="1" x14ac:dyDescent="0.35">
      <c r="B1484" s="57"/>
      <c r="C1484"/>
      <c r="D1484"/>
    </row>
    <row r="1485" spans="2:4" hidden="1" x14ac:dyDescent="0.35">
      <c r="B1485" s="57"/>
      <c r="C1485"/>
      <c r="D1485"/>
    </row>
    <row r="1486" spans="2:4" hidden="1" x14ac:dyDescent="0.35">
      <c r="B1486" s="57"/>
      <c r="C1486"/>
      <c r="D1486"/>
    </row>
    <row r="1487" spans="2:4" hidden="1" x14ac:dyDescent="0.35">
      <c r="B1487" s="57"/>
      <c r="C1487"/>
      <c r="D1487"/>
    </row>
    <row r="1488" spans="2:4" hidden="1" x14ac:dyDescent="0.35">
      <c r="B1488" s="57"/>
      <c r="C1488"/>
      <c r="D1488"/>
    </row>
    <row r="1489" spans="2:4" hidden="1" x14ac:dyDescent="0.35">
      <c r="B1489" s="57"/>
      <c r="C1489"/>
      <c r="D1489"/>
    </row>
    <row r="1490" spans="2:4" hidden="1" x14ac:dyDescent="0.35">
      <c r="B1490" s="57"/>
      <c r="C1490"/>
      <c r="D1490"/>
    </row>
    <row r="1491" spans="2:4" hidden="1" x14ac:dyDescent="0.35">
      <c r="B1491" s="57"/>
      <c r="C1491"/>
      <c r="D1491"/>
    </row>
    <row r="1492" spans="2:4" hidden="1" x14ac:dyDescent="0.35">
      <c r="B1492" s="57"/>
      <c r="C1492"/>
      <c r="D1492"/>
    </row>
    <row r="1493" spans="2:4" hidden="1" x14ac:dyDescent="0.35">
      <c r="B1493" s="57"/>
      <c r="C1493"/>
      <c r="D1493"/>
    </row>
    <row r="1494" spans="2:4" hidden="1" x14ac:dyDescent="0.35">
      <c r="B1494" s="57"/>
      <c r="C1494"/>
      <c r="D1494"/>
    </row>
    <row r="1495" spans="2:4" hidden="1" x14ac:dyDescent="0.35">
      <c r="B1495" s="57"/>
      <c r="C1495"/>
      <c r="D1495"/>
    </row>
    <row r="1496" spans="2:4" hidden="1" x14ac:dyDescent="0.35">
      <c r="B1496" s="57"/>
      <c r="C1496"/>
      <c r="D1496"/>
    </row>
    <row r="1497" spans="2:4" hidden="1" x14ac:dyDescent="0.35">
      <c r="B1497" s="57"/>
      <c r="C1497"/>
      <c r="D1497"/>
    </row>
    <row r="1498" spans="2:4" hidden="1" x14ac:dyDescent="0.35">
      <c r="B1498" s="57"/>
      <c r="C1498"/>
      <c r="D1498"/>
    </row>
    <row r="1499" spans="2:4" hidden="1" x14ac:dyDescent="0.35">
      <c r="B1499" s="57"/>
      <c r="C1499"/>
      <c r="D1499"/>
    </row>
    <row r="1500" spans="2:4" hidden="1" x14ac:dyDescent="0.35">
      <c r="B1500" s="57"/>
      <c r="C1500"/>
      <c r="D1500"/>
    </row>
    <row r="1501" spans="2:4" hidden="1" x14ac:dyDescent="0.35">
      <c r="B1501" s="57"/>
      <c r="C1501"/>
      <c r="D1501"/>
    </row>
    <row r="1502" spans="2:4" hidden="1" x14ac:dyDescent="0.35">
      <c r="B1502" s="57"/>
      <c r="C1502"/>
      <c r="D1502"/>
    </row>
    <row r="1503" spans="2:4" hidden="1" x14ac:dyDescent="0.35">
      <c r="B1503" s="57"/>
      <c r="C1503"/>
      <c r="D1503"/>
    </row>
    <row r="1504" spans="2:4" hidden="1" x14ac:dyDescent="0.35">
      <c r="B1504" s="57"/>
      <c r="C1504"/>
      <c r="D1504"/>
    </row>
    <row r="1505" spans="2:4" hidden="1" x14ac:dyDescent="0.35">
      <c r="B1505" s="57"/>
      <c r="C1505"/>
      <c r="D1505"/>
    </row>
    <row r="1506" spans="2:4" hidden="1" x14ac:dyDescent="0.35">
      <c r="B1506" s="57"/>
      <c r="C1506"/>
      <c r="D1506"/>
    </row>
    <row r="1507" spans="2:4" hidden="1" x14ac:dyDescent="0.35">
      <c r="B1507" s="57"/>
      <c r="C1507"/>
      <c r="D1507"/>
    </row>
    <row r="1508" spans="2:4" hidden="1" x14ac:dyDescent="0.35">
      <c r="B1508" s="57"/>
      <c r="C1508"/>
      <c r="D1508"/>
    </row>
    <row r="1509" spans="2:4" hidden="1" x14ac:dyDescent="0.35">
      <c r="B1509" s="57"/>
      <c r="C1509"/>
      <c r="D1509"/>
    </row>
    <row r="1510" spans="2:4" hidden="1" x14ac:dyDescent="0.35">
      <c r="B1510" s="57"/>
      <c r="C1510"/>
      <c r="D1510"/>
    </row>
    <row r="1511" spans="2:4" hidden="1" x14ac:dyDescent="0.35">
      <c r="B1511" s="57"/>
      <c r="C1511"/>
      <c r="D1511"/>
    </row>
    <row r="1512" spans="2:4" hidden="1" x14ac:dyDescent="0.35">
      <c r="B1512" s="57"/>
      <c r="C1512"/>
      <c r="D1512"/>
    </row>
    <row r="1513" spans="2:4" hidden="1" x14ac:dyDescent="0.35">
      <c r="B1513" s="57"/>
      <c r="C1513"/>
      <c r="D1513"/>
    </row>
    <row r="1514" spans="2:4" hidden="1" x14ac:dyDescent="0.35">
      <c r="B1514" s="57"/>
      <c r="C1514"/>
      <c r="D1514"/>
    </row>
    <row r="1515" spans="2:4" hidden="1" x14ac:dyDescent="0.35">
      <c r="B1515" s="57"/>
      <c r="C1515"/>
      <c r="D1515"/>
    </row>
    <row r="1516" spans="2:4" hidden="1" x14ac:dyDescent="0.35">
      <c r="B1516" s="57"/>
      <c r="C1516"/>
      <c r="D1516"/>
    </row>
    <row r="1517" spans="2:4" hidden="1" x14ac:dyDescent="0.35">
      <c r="B1517" s="57"/>
      <c r="C1517"/>
      <c r="D1517"/>
    </row>
    <row r="1518" spans="2:4" hidden="1" x14ac:dyDescent="0.35">
      <c r="B1518" s="57"/>
      <c r="C1518"/>
      <c r="D1518"/>
    </row>
    <row r="1519" spans="2:4" hidden="1" x14ac:dyDescent="0.35">
      <c r="B1519" s="57"/>
      <c r="C1519"/>
      <c r="D1519"/>
    </row>
    <row r="1520" spans="2:4" hidden="1" x14ac:dyDescent="0.35">
      <c r="B1520" s="57"/>
      <c r="C1520"/>
      <c r="D1520"/>
    </row>
    <row r="1521" spans="2:4" hidden="1" x14ac:dyDescent="0.35">
      <c r="B1521" s="57"/>
      <c r="C1521"/>
      <c r="D1521"/>
    </row>
    <row r="1522" spans="2:4" hidden="1" x14ac:dyDescent="0.35">
      <c r="B1522" s="57"/>
      <c r="C1522"/>
      <c r="D1522"/>
    </row>
    <row r="1523" spans="2:4" hidden="1" x14ac:dyDescent="0.35">
      <c r="B1523" s="57"/>
      <c r="C1523"/>
      <c r="D1523"/>
    </row>
    <row r="1524" spans="2:4" hidden="1" x14ac:dyDescent="0.35">
      <c r="B1524" s="57"/>
      <c r="C1524"/>
      <c r="D1524"/>
    </row>
    <row r="1525" spans="2:4" hidden="1" x14ac:dyDescent="0.35">
      <c r="B1525" s="57"/>
      <c r="C1525"/>
      <c r="D1525"/>
    </row>
    <row r="1526" spans="2:4" hidden="1" x14ac:dyDescent="0.35">
      <c r="B1526" s="57"/>
      <c r="C1526"/>
      <c r="D1526"/>
    </row>
    <row r="1527" spans="2:4" hidden="1" x14ac:dyDescent="0.35">
      <c r="B1527" s="57"/>
      <c r="C1527"/>
      <c r="D1527"/>
    </row>
    <row r="1528" spans="2:4" hidden="1" x14ac:dyDescent="0.35">
      <c r="B1528" s="57"/>
      <c r="C1528"/>
      <c r="D1528"/>
    </row>
    <row r="1529" spans="2:4" hidden="1" x14ac:dyDescent="0.35">
      <c r="B1529" s="57"/>
      <c r="C1529"/>
      <c r="D1529"/>
    </row>
    <row r="1530" spans="2:4" hidden="1" x14ac:dyDescent="0.35">
      <c r="B1530" s="57"/>
      <c r="C1530"/>
      <c r="D1530"/>
    </row>
    <row r="1531" spans="2:4" hidden="1" x14ac:dyDescent="0.35">
      <c r="B1531" s="57"/>
      <c r="C1531"/>
      <c r="D1531"/>
    </row>
    <row r="1532" spans="2:4" hidden="1" x14ac:dyDescent="0.35">
      <c r="B1532" s="57"/>
      <c r="C1532"/>
      <c r="D1532"/>
    </row>
    <row r="1533" spans="2:4" hidden="1" x14ac:dyDescent="0.35">
      <c r="B1533" s="57"/>
      <c r="C1533"/>
      <c r="D1533"/>
    </row>
    <row r="1534" spans="2:4" hidden="1" x14ac:dyDescent="0.35">
      <c r="B1534" s="57"/>
      <c r="C1534"/>
      <c r="D1534"/>
    </row>
    <row r="1535" spans="2:4" hidden="1" x14ac:dyDescent="0.35">
      <c r="B1535" s="57"/>
      <c r="C1535"/>
      <c r="D1535"/>
    </row>
    <row r="1536" spans="2:4" hidden="1" x14ac:dyDescent="0.35">
      <c r="B1536" s="57"/>
      <c r="C1536"/>
      <c r="D1536"/>
    </row>
    <row r="1537" spans="2:4" hidden="1" x14ac:dyDescent="0.35">
      <c r="B1537" s="57"/>
      <c r="C1537"/>
      <c r="D1537"/>
    </row>
    <row r="1538" spans="2:4" hidden="1" x14ac:dyDescent="0.35">
      <c r="B1538" s="57"/>
      <c r="C1538"/>
      <c r="D1538"/>
    </row>
    <row r="1539" spans="2:4" hidden="1" x14ac:dyDescent="0.35">
      <c r="B1539" s="57"/>
      <c r="C1539"/>
      <c r="D1539"/>
    </row>
    <row r="1540" spans="2:4" hidden="1" x14ac:dyDescent="0.35">
      <c r="B1540" s="57"/>
      <c r="C1540"/>
      <c r="D1540"/>
    </row>
    <row r="1541" spans="2:4" hidden="1" x14ac:dyDescent="0.35">
      <c r="B1541" s="57"/>
      <c r="C1541"/>
      <c r="D1541"/>
    </row>
    <row r="1542" spans="2:4" hidden="1" x14ac:dyDescent="0.35">
      <c r="B1542" s="57"/>
      <c r="C1542"/>
      <c r="D1542"/>
    </row>
    <row r="1543" spans="2:4" hidden="1" x14ac:dyDescent="0.35">
      <c r="B1543" s="57"/>
      <c r="C1543"/>
      <c r="D1543"/>
    </row>
    <row r="1544" spans="2:4" hidden="1" x14ac:dyDescent="0.35">
      <c r="B1544" s="57"/>
      <c r="C1544"/>
      <c r="D1544"/>
    </row>
    <row r="1545" spans="2:4" hidden="1" x14ac:dyDescent="0.35">
      <c r="B1545" s="57"/>
      <c r="C1545"/>
      <c r="D1545"/>
    </row>
    <row r="1546" spans="2:4" hidden="1" x14ac:dyDescent="0.35">
      <c r="B1546" s="57"/>
      <c r="C1546"/>
      <c r="D1546"/>
    </row>
    <row r="1547" spans="2:4" hidden="1" x14ac:dyDescent="0.35">
      <c r="B1547" s="57"/>
      <c r="C1547"/>
      <c r="D1547"/>
    </row>
    <row r="1548" spans="2:4" hidden="1" x14ac:dyDescent="0.35">
      <c r="B1548" s="57"/>
      <c r="C1548"/>
      <c r="D1548"/>
    </row>
    <row r="1549" spans="2:4" hidden="1" x14ac:dyDescent="0.35">
      <c r="B1549" s="57"/>
      <c r="C1549"/>
      <c r="D1549"/>
    </row>
    <row r="1550" spans="2:4" hidden="1" x14ac:dyDescent="0.35">
      <c r="B1550" s="57"/>
      <c r="C1550"/>
      <c r="D1550"/>
    </row>
    <row r="1551" spans="2:4" hidden="1" x14ac:dyDescent="0.35">
      <c r="B1551" s="57"/>
      <c r="C1551"/>
      <c r="D1551"/>
    </row>
    <row r="1552" spans="2:4" hidden="1" x14ac:dyDescent="0.35">
      <c r="B1552" s="57"/>
      <c r="C1552"/>
      <c r="D1552"/>
    </row>
    <row r="1553" spans="2:4" hidden="1" x14ac:dyDescent="0.35">
      <c r="B1553" s="57"/>
      <c r="C1553"/>
      <c r="D1553"/>
    </row>
    <row r="1554" spans="2:4" hidden="1" x14ac:dyDescent="0.35">
      <c r="B1554" s="57"/>
      <c r="C1554"/>
      <c r="D1554"/>
    </row>
    <row r="1555" spans="2:4" hidden="1" x14ac:dyDescent="0.35">
      <c r="B1555" s="57"/>
      <c r="C1555"/>
      <c r="D1555"/>
    </row>
    <row r="1556" spans="2:4" hidden="1" x14ac:dyDescent="0.35">
      <c r="B1556" s="57"/>
      <c r="C1556"/>
      <c r="D1556"/>
    </row>
    <row r="1557" spans="2:4" hidden="1" x14ac:dyDescent="0.35">
      <c r="B1557" s="57"/>
      <c r="C1557"/>
      <c r="D1557"/>
    </row>
    <row r="1558" spans="2:4" hidden="1" x14ac:dyDescent="0.35">
      <c r="B1558" s="57"/>
      <c r="C1558"/>
      <c r="D1558"/>
    </row>
    <row r="1559" spans="2:4" hidden="1" x14ac:dyDescent="0.35">
      <c r="B1559" s="57"/>
      <c r="C1559"/>
      <c r="D1559"/>
    </row>
    <row r="1560" spans="2:4" hidden="1" x14ac:dyDescent="0.35">
      <c r="B1560" s="57"/>
      <c r="C1560"/>
      <c r="D1560"/>
    </row>
    <row r="1561" spans="2:4" hidden="1" x14ac:dyDescent="0.35">
      <c r="B1561" s="57"/>
      <c r="C1561"/>
      <c r="D1561"/>
    </row>
    <row r="1562" spans="2:4" hidden="1" x14ac:dyDescent="0.35">
      <c r="B1562" s="57"/>
      <c r="C1562"/>
      <c r="D1562"/>
    </row>
    <row r="1563" spans="2:4" hidden="1" x14ac:dyDescent="0.35">
      <c r="B1563" s="57"/>
      <c r="C1563"/>
      <c r="D1563"/>
    </row>
    <row r="1564" spans="2:4" hidden="1" x14ac:dyDescent="0.35">
      <c r="B1564" s="57"/>
      <c r="C1564"/>
      <c r="D1564"/>
    </row>
    <row r="1565" spans="2:4" hidden="1" x14ac:dyDescent="0.35">
      <c r="B1565" s="57"/>
      <c r="C1565"/>
      <c r="D1565"/>
    </row>
    <row r="1566" spans="2:4" hidden="1" x14ac:dyDescent="0.35">
      <c r="B1566" s="57"/>
      <c r="C1566"/>
      <c r="D1566"/>
    </row>
    <row r="1567" spans="2:4" hidden="1" x14ac:dyDescent="0.35">
      <c r="B1567" s="57"/>
      <c r="C1567"/>
      <c r="D1567"/>
    </row>
    <row r="1568" spans="2:4" hidden="1" x14ac:dyDescent="0.35">
      <c r="B1568" s="57"/>
      <c r="C1568"/>
      <c r="D1568"/>
    </row>
    <row r="1569" spans="2:4" hidden="1" x14ac:dyDescent="0.35">
      <c r="B1569" s="57"/>
      <c r="C1569"/>
      <c r="D1569"/>
    </row>
    <row r="1570" spans="2:4" hidden="1" x14ac:dyDescent="0.35">
      <c r="B1570" s="57"/>
      <c r="C1570"/>
      <c r="D1570"/>
    </row>
    <row r="1571" spans="2:4" hidden="1" x14ac:dyDescent="0.35">
      <c r="B1571" s="57"/>
      <c r="C1571"/>
      <c r="D1571"/>
    </row>
    <row r="1572" spans="2:4" hidden="1" x14ac:dyDescent="0.35">
      <c r="B1572" s="57"/>
      <c r="C1572"/>
      <c r="D1572"/>
    </row>
    <row r="1573" spans="2:4" hidden="1" x14ac:dyDescent="0.35">
      <c r="B1573" s="57"/>
      <c r="C1573"/>
      <c r="D1573"/>
    </row>
    <row r="1574" spans="2:4" hidden="1" x14ac:dyDescent="0.35">
      <c r="B1574" s="57"/>
      <c r="C1574"/>
      <c r="D1574"/>
    </row>
    <row r="1575" spans="2:4" hidden="1" x14ac:dyDescent="0.35">
      <c r="B1575" s="57"/>
      <c r="C1575"/>
      <c r="D1575"/>
    </row>
    <row r="1576" spans="2:4" hidden="1" x14ac:dyDescent="0.35">
      <c r="B1576" s="57"/>
      <c r="C1576"/>
      <c r="D1576"/>
    </row>
    <row r="1577" spans="2:4" hidden="1" x14ac:dyDescent="0.35">
      <c r="B1577" s="57"/>
      <c r="C1577"/>
      <c r="D1577"/>
    </row>
    <row r="1578" spans="2:4" hidden="1" x14ac:dyDescent="0.35">
      <c r="B1578" s="57"/>
      <c r="C1578"/>
      <c r="D1578"/>
    </row>
    <row r="1579" spans="2:4" hidden="1" x14ac:dyDescent="0.35">
      <c r="B1579" s="57"/>
      <c r="C1579"/>
      <c r="D1579"/>
    </row>
    <row r="1580" spans="2:4" hidden="1" x14ac:dyDescent="0.35">
      <c r="B1580" s="57"/>
      <c r="C1580"/>
      <c r="D1580"/>
    </row>
    <row r="1581" spans="2:4" hidden="1" x14ac:dyDescent="0.35">
      <c r="B1581" s="57"/>
      <c r="C1581"/>
      <c r="D1581"/>
    </row>
    <row r="1582" spans="2:4" hidden="1" x14ac:dyDescent="0.35">
      <c r="B1582" s="57"/>
      <c r="C1582"/>
      <c r="D1582"/>
    </row>
    <row r="1583" spans="2:4" hidden="1" x14ac:dyDescent="0.35">
      <c r="B1583" s="57"/>
      <c r="C1583"/>
      <c r="D1583"/>
    </row>
    <row r="1584" spans="2:4" hidden="1" x14ac:dyDescent="0.35">
      <c r="B1584" s="57"/>
      <c r="C1584"/>
      <c r="D1584"/>
    </row>
    <row r="1585" spans="2:4" hidden="1" x14ac:dyDescent="0.35">
      <c r="B1585" s="57"/>
      <c r="C1585"/>
      <c r="D1585"/>
    </row>
    <row r="1586" spans="2:4" hidden="1" x14ac:dyDescent="0.35">
      <c r="B1586" s="57"/>
      <c r="C1586"/>
      <c r="D1586"/>
    </row>
    <row r="1587" spans="2:4" hidden="1" x14ac:dyDescent="0.35">
      <c r="B1587" s="57"/>
      <c r="C1587"/>
      <c r="D1587"/>
    </row>
    <row r="1588" spans="2:4" hidden="1" x14ac:dyDescent="0.35">
      <c r="B1588" s="57"/>
      <c r="C1588"/>
      <c r="D1588"/>
    </row>
    <row r="1589" spans="2:4" hidden="1" x14ac:dyDescent="0.35">
      <c r="B1589" s="57"/>
      <c r="C1589"/>
      <c r="D1589"/>
    </row>
    <row r="1590" spans="2:4" hidden="1" x14ac:dyDescent="0.35">
      <c r="B1590" s="57"/>
      <c r="C1590"/>
      <c r="D1590"/>
    </row>
    <row r="1591" spans="2:4" hidden="1" x14ac:dyDescent="0.35">
      <c r="B1591" s="57"/>
      <c r="C1591"/>
      <c r="D1591"/>
    </row>
    <row r="1592" spans="2:4" hidden="1" x14ac:dyDescent="0.35">
      <c r="B1592" s="57"/>
      <c r="C1592"/>
      <c r="D1592"/>
    </row>
    <row r="1593" spans="2:4" hidden="1" x14ac:dyDescent="0.35">
      <c r="B1593" s="57"/>
      <c r="C1593"/>
      <c r="D1593"/>
    </row>
    <row r="1594" spans="2:4" hidden="1" x14ac:dyDescent="0.35">
      <c r="B1594" s="57"/>
      <c r="C1594"/>
      <c r="D1594"/>
    </row>
    <row r="1595" spans="2:4" hidden="1" x14ac:dyDescent="0.35">
      <c r="B1595" s="57"/>
      <c r="C1595"/>
      <c r="D1595"/>
    </row>
    <row r="1596" spans="2:4" hidden="1" x14ac:dyDescent="0.35">
      <c r="B1596" s="57"/>
      <c r="C1596"/>
      <c r="D1596"/>
    </row>
    <row r="1597" spans="2:4" hidden="1" x14ac:dyDescent="0.35">
      <c r="B1597" s="57"/>
      <c r="C1597"/>
      <c r="D1597"/>
    </row>
    <row r="1598" spans="2:4" hidden="1" x14ac:dyDescent="0.35">
      <c r="B1598" s="57"/>
      <c r="C1598"/>
      <c r="D1598"/>
    </row>
    <row r="1599" spans="2:4" hidden="1" x14ac:dyDescent="0.35">
      <c r="B1599" s="57"/>
      <c r="C1599"/>
      <c r="D1599"/>
    </row>
    <row r="1600" spans="2:4" hidden="1" x14ac:dyDescent="0.35">
      <c r="B1600" s="57"/>
      <c r="C1600"/>
      <c r="D1600"/>
    </row>
    <row r="1601" spans="2:4" hidden="1" x14ac:dyDescent="0.35">
      <c r="B1601" s="57"/>
      <c r="C1601"/>
      <c r="D1601"/>
    </row>
    <row r="1602" spans="2:4" hidden="1" x14ac:dyDescent="0.35">
      <c r="B1602" s="57"/>
      <c r="C1602"/>
      <c r="D1602"/>
    </row>
    <row r="1603" spans="2:4" hidden="1" x14ac:dyDescent="0.35">
      <c r="B1603" s="57"/>
      <c r="C1603"/>
      <c r="D1603"/>
    </row>
    <row r="1604" spans="2:4" hidden="1" x14ac:dyDescent="0.35">
      <c r="B1604" s="57"/>
      <c r="C1604"/>
      <c r="D1604"/>
    </row>
    <row r="1605" spans="2:4" hidden="1" x14ac:dyDescent="0.35">
      <c r="B1605" s="57"/>
      <c r="C1605"/>
      <c r="D1605"/>
    </row>
    <row r="1606" spans="2:4" hidden="1" x14ac:dyDescent="0.35">
      <c r="B1606" s="57"/>
      <c r="C1606"/>
      <c r="D1606"/>
    </row>
    <row r="1607" spans="2:4" hidden="1" x14ac:dyDescent="0.35">
      <c r="B1607" s="57"/>
      <c r="C1607"/>
      <c r="D1607"/>
    </row>
    <row r="1608" spans="2:4" hidden="1" x14ac:dyDescent="0.35">
      <c r="B1608" s="57"/>
      <c r="C1608"/>
      <c r="D1608"/>
    </row>
    <row r="1609" spans="2:4" hidden="1" x14ac:dyDescent="0.35">
      <c r="B1609" s="57"/>
      <c r="C1609"/>
      <c r="D1609"/>
    </row>
    <row r="1610" spans="2:4" hidden="1" x14ac:dyDescent="0.35">
      <c r="B1610" s="57"/>
      <c r="C1610"/>
      <c r="D1610"/>
    </row>
    <row r="1611" spans="2:4" hidden="1" x14ac:dyDescent="0.35">
      <c r="B1611" s="57"/>
      <c r="C1611"/>
      <c r="D1611"/>
    </row>
    <row r="1612" spans="2:4" hidden="1" x14ac:dyDescent="0.35">
      <c r="B1612" s="57"/>
      <c r="C1612"/>
      <c r="D1612"/>
    </row>
    <row r="1613" spans="2:4" hidden="1" x14ac:dyDescent="0.35">
      <c r="B1613" s="57"/>
      <c r="C1613"/>
      <c r="D1613"/>
    </row>
    <row r="1614" spans="2:4" hidden="1" x14ac:dyDescent="0.35">
      <c r="B1614" s="57"/>
      <c r="C1614"/>
      <c r="D1614"/>
    </row>
    <row r="1615" spans="2:4" hidden="1" x14ac:dyDescent="0.35">
      <c r="B1615" s="57"/>
      <c r="C1615"/>
      <c r="D1615"/>
    </row>
    <row r="1616" spans="2:4" hidden="1" x14ac:dyDescent="0.35">
      <c r="B1616" s="57"/>
      <c r="C1616"/>
      <c r="D1616"/>
    </row>
    <row r="1617" spans="2:4" hidden="1" x14ac:dyDescent="0.35">
      <c r="B1617" s="57"/>
      <c r="C1617"/>
      <c r="D1617"/>
    </row>
    <row r="1618" spans="2:4" hidden="1" x14ac:dyDescent="0.35">
      <c r="B1618" s="57"/>
      <c r="C1618"/>
      <c r="D1618"/>
    </row>
    <row r="1619" spans="2:4" hidden="1" x14ac:dyDescent="0.35">
      <c r="B1619" s="57"/>
      <c r="C1619"/>
      <c r="D1619"/>
    </row>
    <row r="1620" spans="2:4" hidden="1" x14ac:dyDescent="0.35">
      <c r="B1620" s="57"/>
      <c r="C1620"/>
      <c r="D1620"/>
    </row>
    <row r="1621" spans="2:4" hidden="1" x14ac:dyDescent="0.35">
      <c r="B1621" s="57"/>
      <c r="C1621"/>
      <c r="D1621"/>
    </row>
    <row r="1622" spans="2:4" hidden="1" x14ac:dyDescent="0.35">
      <c r="B1622" s="57"/>
      <c r="C1622"/>
      <c r="D1622"/>
    </row>
    <row r="1623" spans="2:4" hidden="1" x14ac:dyDescent="0.35">
      <c r="B1623" s="57"/>
      <c r="C1623"/>
      <c r="D1623"/>
    </row>
    <row r="1624" spans="2:4" hidden="1" x14ac:dyDescent="0.35">
      <c r="B1624" s="57"/>
      <c r="C1624"/>
      <c r="D1624"/>
    </row>
    <row r="1625" spans="2:4" hidden="1" x14ac:dyDescent="0.35">
      <c r="B1625" s="57"/>
      <c r="C1625"/>
      <c r="D1625"/>
    </row>
    <row r="1626" spans="2:4" hidden="1" x14ac:dyDescent="0.35">
      <c r="B1626" s="57"/>
      <c r="C1626"/>
      <c r="D1626"/>
    </row>
    <row r="1627" spans="2:4" hidden="1" x14ac:dyDescent="0.35">
      <c r="B1627" s="57"/>
      <c r="C1627"/>
      <c r="D1627"/>
    </row>
    <row r="1628" spans="2:4" hidden="1" x14ac:dyDescent="0.35">
      <c r="B1628" s="57"/>
      <c r="C1628"/>
      <c r="D1628"/>
    </row>
    <row r="1629" spans="2:4" hidden="1" x14ac:dyDescent="0.35">
      <c r="B1629" s="57"/>
      <c r="C1629"/>
      <c r="D1629"/>
    </row>
    <row r="1630" spans="2:4" hidden="1" x14ac:dyDescent="0.35">
      <c r="B1630" s="57"/>
      <c r="C1630"/>
      <c r="D1630"/>
    </row>
    <row r="1631" spans="2:4" hidden="1" x14ac:dyDescent="0.35">
      <c r="B1631" s="57"/>
      <c r="C1631"/>
      <c r="D1631"/>
    </row>
    <row r="1632" spans="2:4" hidden="1" x14ac:dyDescent="0.35">
      <c r="B1632" s="57"/>
      <c r="C1632"/>
      <c r="D1632"/>
    </row>
    <row r="1633" spans="2:4" hidden="1" x14ac:dyDescent="0.35">
      <c r="B1633" s="57"/>
      <c r="C1633"/>
      <c r="D1633"/>
    </row>
    <row r="1634" spans="2:4" hidden="1" x14ac:dyDescent="0.35">
      <c r="B1634" s="57"/>
      <c r="C1634"/>
      <c r="D1634"/>
    </row>
    <row r="1635" spans="2:4" hidden="1" x14ac:dyDescent="0.35">
      <c r="B1635" s="57"/>
      <c r="C1635"/>
      <c r="D1635"/>
    </row>
    <row r="1636" spans="2:4" hidden="1" x14ac:dyDescent="0.35">
      <c r="B1636" s="57"/>
      <c r="C1636"/>
      <c r="D1636"/>
    </row>
    <row r="1637" spans="2:4" hidden="1" x14ac:dyDescent="0.35">
      <c r="B1637" s="57"/>
      <c r="C1637"/>
      <c r="D1637"/>
    </row>
    <row r="1638" spans="2:4" hidden="1" x14ac:dyDescent="0.35">
      <c r="B1638" s="57"/>
      <c r="C1638"/>
      <c r="D1638"/>
    </row>
    <row r="1639" spans="2:4" hidden="1" x14ac:dyDescent="0.35">
      <c r="B1639" s="57"/>
      <c r="C1639"/>
      <c r="D1639"/>
    </row>
    <row r="1640" spans="2:4" hidden="1" x14ac:dyDescent="0.35">
      <c r="B1640" s="57"/>
      <c r="C1640"/>
      <c r="D1640"/>
    </row>
    <row r="1641" spans="2:4" hidden="1" x14ac:dyDescent="0.35">
      <c r="B1641" s="57"/>
      <c r="C1641"/>
      <c r="D1641"/>
    </row>
    <row r="1642" spans="2:4" hidden="1" x14ac:dyDescent="0.35">
      <c r="B1642" s="57"/>
      <c r="C1642"/>
      <c r="D1642"/>
    </row>
    <row r="1643" spans="2:4" hidden="1" x14ac:dyDescent="0.35">
      <c r="B1643" s="57"/>
      <c r="C1643"/>
      <c r="D1643"/>
    </row>
    <row r="1644" spans="2:4" hidden="1" x14ac:dyDescent="0.35">
      <c r="B1644" s="57"/>
      <c r="C1644"/>
      <c r="D1644"/>
    </row>
    <row r="1645" spans="2:4" hidden="1" x14ac:dyDescent="0.35">
      <c r="B1645" s="57"/>
      <c r="C1645"/>
      <c r="D1645"/>
    </row>
    <row r="1646" spans="2:4" hidden="1" x14ac:dyDescent="0.35">
      <c r="B1646" s="57"/>
      <c r="C1646"/>
      <c r="D1646"/>
    </row>
    <row r="1647" spans="2:4" hidden="1" x14ac:dyDescent="0.35">
      <c r="B1647" s="57"/>
      <c r="C1647"/>
      <c r="D1647"/>
    </row>
    <row r="1648" spans="2:4" hidden="1" x14ac:dyDescent="0.35">
      <c r="B1648" s="57"/>
      <c r="C1648"/>
      <c r="D1648"/>
    </row>
    <row r="1649" spans="2:4" hidden="1" x14ac:dyDescent="0.35">
      <c r="B1649" s="57"/>
      <c r="C1649"/>
      <c r="D1649"/>
    </row>
    <row r="1650" spans="2:4" hidden="1" x14ac:dyDescent="0.35">
      <c r="B1650" s="57"/>
      <c r="C1650"/>
      <c r="D1650"/>
    </row>
    <row r="1651" spans="2:4" hidden="1" x14ac:dyDescent="0.35">
      <c r="B1651" s="57"/>
      <c r="C1651"/>
      <c r="D1651"/>
    </row>
    <row r="1652" spans="2:4" hidden="1" x14ac:dyDescent="0.35">
      <c r="B1652" s="57"/>
      <c r="C1652"/>
      <c r="D1652"/>
    </row>
    <row r="1653" spans="2:4" hidden="1" x14ac:dyDescent="0.35">
      <c r="B1653" s="57"/>
      <c r="C1653"/>
      <c r="D1653"/>
    </row>
    <row r="1654" spans="2:4" hidden="1" x14ac:dyDescent="0.35">
      <c r="B1654" s="57"/>
      <c r="C1654"/>
      <c r="D1654"/>
    </row>
    <row r="1655" spans="2:4" hidden="1" x14ac:dyDescent="0.35">
      <c r="B1655" s="57"/>
      <c r="C1655"/>
      <c r="D1655"/>
    </row>
    <row r="1656" spans="2:4" hidden="1" x14ac:dyDescent="0.35">
      <c r="B1656" s="57"/>
      <c r="C1656"/>
      <c r="D1656"/>
    </row>
    <row r="1657" spans="2:4" hidden="1" x14ac:dyDescent="0.35">
      <c r="B1657" s="57"/>
      <c r="C1657"/>
      <c r="D1657"/>
    </row>
    <row r="1658" spans="2:4" hidden="1" x14ac:dyDescent="0.35">
      <c r="B1658" s="57"/>
      <c r="C1658"/>
      <c r="D1658"/>
    </row>
    <row r="1659" spans="2:4" hidden="1" x14ac:dyDescent="0.35">
      <c r="B1659" s="57"/>
      <c r="C1659"/>
      <c r="D1659"/>
    </row>
    <row r="1660" spans="2:4" hidden="1" x14ac:dyDescent="0.35">
      <c r="B1660" s="57"/>
      <c r="C1660"/>
      <c r="D1660"/>
    </row>
    <row r="1661" spans="2:4" hidden="1" x14ac:dyDescent="0.35">
      <c r="B1661" s="57"/>
      <c r="C1661"/>
      <c r="D1661"/>
    </row>
    <row r="1662" spans="2:4" hidden="1" x14ac:dyDescent="0.35">
      <c r="B1662" s="57"/>
      <c r="C1662"/>
      <c r="D1662"/>
    </row>
    <row r="1663" spans="2:4" hidden="1" x14ac:dyDescent="0.35">
      <c r="B1663" s="57"/>
      <c r="C1663"/>
      <c r="D1663"/>
    </row>
    <row r="1664" spans="2:4" hidden="1" x14ac:dyDescent="0.35">
      <c r="B1664" s="57"/>
      <c r="C1664"/>
      <c r="D1664"/>
    </row>
    <row r="1665" spans="2:4" hidden="1" x14ac:dyDescent="0.35">
      <c r="B1665" s="57"/>
      <c r="C1665"/>
      <c r="D1665"/>
    </row>
    <row r="1666" spans="2:4" hidden="1" x14ac:dyDescent="0.35">
      <c r="B1666" s="57"/>
      <c r="C1666"/>
      <c r="D1666"/>
    </row>
    <row r="1667" spans="2:4" hidden="1" x14ac:dyDescent="0.35">
      <c r="B1667" s="57"/>
      <c r="C1667"/>
      <c r="D1667"/>
    </row>
    <row r="1668" spans="2:4" hidden="1" x14ac:dyDescent="0.35">
      <c r="B1668" s="57"/>
      <c r="C1668"/>
      <c r="D1668"/>
    </row>
    <row r="1669" spans="2:4" hidden="1" x14ac:dyDescent="0.35">
      <c r="B1669" s="57"/>
      <c r="C1669"/>
      <c r="D1669"/>
    </row>
    <row r="1670" spans="2:4" hidden="1" x14ac:dyDescent="0.35">
      <c r="B1670" s="57"/>
      <c r="C1670"/>
      <c r="D1670"/>
    </row>
    <row r="1671" spans="2:4" hidden="1" x14ac:dyDescent="0.35">
      <c r="B1671" s="57"/>
      <c r="C1671"/>
      <c r="D1671"/>
    </row>
    <row r="1672" spans="2:4" hidden="1" x14ac:dyDescent="0.35">
      <c r="B1672" s="57"/>
      <c r="C1672"/>
      <c r="D1672"/>
    </row>
    <row r="1673" spans="2:4" hidden="1" x14ac:dyDescent="0.35">
      <c r="B1673" s="57"/>
      <c r="C1673"/>
      <c r="D1673"/>
    </row>
    <row r="1674" spans="2:4" hidden="1" x14ac:dyDescent="0.35">
      <c r="B1674" s="57"/>
      <c r="C1674"/>
      <c r="D1674"/>
    </row>
    <row r="1675" spans="2:4" hidden="1" x14ac:dyDescent="0.35">
      <c r="B1675" s="57"/>
      <c r="C1675"/>
      <c r="D1675"/>
    </row>
    <row r="1676" spans="2:4" hidden="1" x14ac:dyDescent="0.35">
      <c r="B1676" s="57"/>
      <c r="C1676"/>
      <c r="D1676"/>
    </row>
    <row r="1677" spans="2:4" hidden="1" x14ac:dyDescent="0.35">
      <c r="B1677" s="57"/>
      <c r="C1677"/>
      <c r="D1677"/>
    </row>
    <row r="1678" spans="2:4" hidden="1" x14ac:dyDescent="0.35">
      <c r="B1678" s="57"/>
      <c r="C1678"/>
      <c r="D1678"/>
    </row>
    <row r="1679" spans="2:4" hidden="1" x14ac:dyDescent="0.35">
      <c r="B1679" s="57"/>
      <c r="C1679"/>
      <c r="D1679"/>
    </row>
    <row r="1680" spans="2:4" hidden="1" x14ac:dyDescent="0.35">
      <c r="B1680" s="57"/>
      <c r="C1680"/>
      <c r="D1680"/>
    </row>
    <row r="1681" spans="2:4" hidden="1" x14ac:dyDescent="0.35">
      <c r="B1681" s="57"/>
      <c r="C1681"/>
      <c r="D1681"/>
    </row>
    <row r="1682" spans="2:4" hidden="1" x14ac:dyDescent="0.35">
      <c r="B1682" s="57"/>
      <c r="C1682"/>
      <c r="D1682"/>
    </row>
    <row r="1683" spans="2:4" hidden="1" x14ac:dyDescent="0.35">
      <c r="B1683" s="57"/>
      <c r="C1683"/>
      <c r="D1683"/>
    </row>
    <row r="1684" spans="2:4" hidden="1" x14ac:dyDescent="0.35">
      <c r="B1684" s="57"/>
      <c r="C1684"/>
      <c r="D1684"/>
    </row>
    <row r="1685" spans="2:4" hidden="1" x14ac:dyDescent="0.35">
      <c r="B1685" s="57"/>
      <c r="C1685"/>
      <c r="D1685"/>
    </row>
    <row r="1686" spans="2:4" hidden="1" x14ac:dyDescent="0.35">
      <c r="B1686" s="57"/>
      <c r="C1686"/>
      <c r="D1686"/>
    </row>
    <row r="1687" spans="2:4" hidden="1" x14ac:dyDescent="0.35">
      <c r="B1687" s="57"/>
      <c r="C1687"/>
      <c r="D1687"/>
    </row>
    <row r="1688" spans="2:4" hidden="1" x14ac:dyDescent="0.35">
      <c r="B1688" s="57"/>
      <c r="C1688"/>
      <c r="D1688"/>
    </row>
    <row r="1689" spans="2:4" hidden="1" x14ac:dyDescent="0.35">
      <c r="B1689" s="57"/>
      <c r="C1689"/>
      <c r="D1689"/>
    </row>
    <row r="1690" spans="2:4" hidden="1" x14ac:dyDescent="0.35">
      <c r="B1690" s="57"/>
      <c r="C1690"/>
      <c r="D1690"/>
    </row>
    <row r="1691" spans="2:4" hidden="1" x14ac:dyDescent="0.35">
      <c r="B1691" s="57"/>
      <c r="C1691"/>
      <c r="D1691"/>
    </row>
    <row r="1692" spans="2:4" hidden="1" x14ac:dyDescent="0.35">
      <c r="B1692" s="57"/>
      <c r="C1692"/>
      <c r="D1692"/>
    </row>
    <row r="1693" spans="2:4" hidden="1" x14ac:dyDescent="0.35">
      <c r="B1693" s="57"/>
      <c r="C1693"/>
      <c r="D1693"/>
    </row>
    <row r="1694" spans="2:4" hidden="1" x14ac:dyDescent="0.35">
      <c r="B1694" s="57"/>
      <c r="C1694"/>
      <c r="D1694"/>
    </row>
    <row r="1695" spans="2:4" hidden="1" x14ac:dyDescent="0.35">
      <c r="B1695" s="57"/>
      <c r="C1695"/>
      <c r="D1695"/>
    </row>
    <row r="1696" spans="2:4" hidden="1" x14ac:dyDescent="0.35">
      <c r="B1696" s="57"/>
      <c r="C1696"/>
      <c r="D1696"/>
    </row>
    <row r="1697" spans="2:4" hidden="1" x14ac:dyDescent="0.35">
      <c r="B1697" s="57"/>
      <c r="C1697"/>
      <c r="D1697"/>
    </row>
    <row r="1698" spans="2:4" hidden="1" x14ac:dyDescent="0.35">
      <c r="B1698" s="57"/>
      <c r="C1698"/>
      <c r="D1698"/>
    </row>
    <row r="1699" spans="2:4" hidden="1" x14ac:dyDescent="0.35">
      <c r="B1699" s="57"/>
      <c r="C1699"/>
      <c r="D1699"/>
    </row>
    <row r="1700" spans="2:4" hidden="1" x14ac:dyDescent="0.35">
      <c r="B1700" s="57"/>
      <c r="C1700"/>
      <c r="D1700"/>
    </row>
    <row r="1701" spans="2:4" hidden="1" x14ac:dyDescent="0.35">
      <c r="B1701" s="57"/>
      <c r="C1701"/>
      <c r="D1701"/>
    </row>
    <row r="1702" spans="2:4" hidden="1" x14ac:dyDescent="0.35">
      <c r="B1702" s="57"/>
      <c r="C1702"/>
      <c r="D1702"/>
    </row>
    <row r="1703" spans="2:4" hidden="1" x14ac:dyDescent="0.35">
      <c r="B1703" s="57"/>
      <c r="C1703"/>
      <c r="D1703"/>
    </row>
    <row r="1704" spans="2:4" hidden="1" x14ac:dyDescent="0.35">
      <c r="B1704" s="57"/>
      <c r="C1704"/>
      <c r="D1704"/>
    </row>
    <row r="1705" spans="2:4" hidden="1" x14ac:dyDescent="0.35">
      <c r="B1705" s="57"/>
      <c r="C1705"/>
      <c r="D1705"/>
    </row>
    <row r="1706" spans="2:4" hidden="1" x14ac:dyDescent="0.35">
      <c r="B1706" s="57"/>
      <c r="C1706"/>
      <c r="D1706"/>
    </row>
    <row r="1707" spans="2:4" hidden="1" x14ac:dyDescent="0.35">
      <c r="B1707" s="57"/>
      <c r="C1707"/>
      <c r="D1707"/>
    </row>
    <row r="1708" spans="2:4" hidden="1" x14ac:dyDescent="0.35">
      <c r="B1708" s="57"/>
      <c r="C1708"/>
      <c r="D1708"/>
    </row>
    <row r="1709" spans="2:4" hidden="1" x14ac:dyDescent="0.35">
      <c r="B1709" s="57"/>
      <c r="C1709"/>
      <c r="D1709"/>
    </row>
    <row r="1710" spans="2:4" hidden="1" x14ac:dyDescent="0.35">
      <c r="B1710" s="57"/>
      <c r="C1710"/>
      <c r="D1710"/>
    </row>
    <row r="1711" spans="2:4" hidden="1" x14ac:dyDescent="0.35">
      <c r="B1711" s="57"/>
      <c r="C1711"/>
      <c r="D1711"/>
    </row>
    <row r="1712" spans="2:4" hidden="1" x14ac:dyDescent="0.35">
      <c r="B1712" s="57"/>
      <c r="C1712"/>
      <c r="D1712"/>
    </row>
    <row r="1713" spans="2:4" hidden="1" x14ac:dyDescent="0.35">
      <c r="B1713" s="57"/>
      <c r="C1713"/>
      <c r="D1713"/>
    </row>
    <row r="1714" spans="2:4" hidden="1" x14ac:dyDescent="0.35">
      <c r="B1714" s="57"/>
      <c r="C1714"/>
      <c r="D1714"/>
    </row>
    <row r="1715" spans="2:4" hidden="1" x14ac:dyDescent="0.35">
      <c r="B1715" s="57"/>
      <c r="C1715"/>
      <c r="D1715"/>
    </row>
    <row r="1716" spans="2:4" hidden="1" x14ac:dyDescent="0.35">
      <c r="B1716" s="57"/>
      <c r="C1716"/>
      <c r="D1716"/>
    </row>
    <row r="1717" spans="2:4" hidden="1" x14ac:dyDescent="0.35">
      <c r="B1717" s="57"/>
      <c r="C1717"/>
      <c r="D1717"/>
    </row>
    <row r="1718" spans="2:4" hidden="1" x14ac:dyDescent="0.35">
      <c r="B1718" s="57"/>
      <c r="C1718"/>
      <c r="D1718"/>
    </row>
    <row r="1719" spans="2:4" hidden="1" x14ac:dyDescent="0.35">
      <c r="B1719" s="57"/>
      <c r="C1719"/>
      <c r="D1719"/>
    </row>
    <row r="1720" spans="2:4" hidden="1" x14ac:dyDescent="0.35">
      <c r="B1720" s="57"/>
      <c r="C1720"/>
      <c r="D1720"/>
    </row>
    <row r="1721" spans="2:4" hidden="1" x14ac:dyDescent="0.35">
      <c r="B1721" s="57"/>
      <c r="C1721"/>
      <c r="D1721"/>
    </row>
    <row r="1722" spans="2:4" hidden="1" x14ac:dyDescent="0.35">
      <c r="B1722" s="57"/>
      <c r="C1722"/>
      <c r="D1722"/>
    </row>
    <row r="1723" spans="2:4" hidden="1" x14ac:dyDescent="0.35">
      <c r="B1723" s="57"/>
      <c r="C1723"/>
      <c r="D1723"/>
    </row>
    <row r="1724" spans="2:4" hidden="1" x14ac:dyDescent="0.35">
      <c r="B1724" s="57"/>
      <c r="C1724"/>
      <c r="D1724"/>
    </row>
    <row r="1725" spans="2:4" hidden="1" x14ac:dyDescent="0.35">
      <c r="B1725" s="57"/>
      <c r="C1725"/>
      <c r="D1725"/>
    </row>
    <row r="1726" spans="2:4" hidden="1" x14ac:dyDescent="0.35">
      <c r="B1726" s="57"/>
      <c r="C1726"/>
      <c r="D1726"/>
    </row>
    <row r="1727" spans="2:4" hidden="1" x14ac:dyDescent="0.35">
      <c r="B1727" s="57"/>
      <c r="C1727"/>
      <c r="D1727"/>
    </row>
    <row r="1728" spans="2:4" hidden="1" x14ac:dyDescent="0.35">
      <c r="B1728" s="57"/>
      <c r="C1728"/>
      <c r="D1728"/>
    </row>
    <row r="1729" spans="2:4" hidden="1" x14ac:dyDescent="0.35">
      <c r="B1729" s="57"/>
      <c r="C1729"/>
      <c r="D1729"/>
    </row>
    <row r="1730" spans="2:4" hidden="1" x14ac:dyDescent="0.35">
      <c r="B1730" s="57"/>
      <c r="C1730"/>
      <c r="D1730"/>
    </row>
    <row r="1731" spans="2:4" hidden="1" x14ac:dyDescent="0.35">
      <c r="B1731" s="57"/>
      <c r="C1731"/>
      <c r="D1731"/>
    </row>
    <row r="1732" spans="2:4" hidden="1" x14ac:dyDescent="0.35">
      <c r="B1732" s="57"/>
      <c r="C1732"/>
      <c r="D1732"/>
    </row>
    <row r="1733" spans="2:4" hidden="1" x14ac:dyDescent="0.35">
      <c r="B1733" s="57"/>
      <c r="C1733"/>
      <c r="D1733"/>
    </row>
    <row r="1734" spans="2:4" hidden="1" x14ac:dyDescent="0.35">
      <c r="B1734" s="57"/>
      <c r="C1734"/>
      <c r="D1734"/>
    </row>
    <row r="1735" spans="2:4" hidden="1" x14ac:dyDescent="0.35">
      <c r="B1735" s="57"/>
      <c r="C1735"/>
      <c r="D1735"/>
    </row>
    <row r="1736" spans="2:4" hidden="1" x14ac:dyDescent="0.35">
      <c r="B1736" s="57"/>
      <c r="C1736"/>
      <c r="D1736"/>
    </row>
    <row r="1737" spans="2:4" hidden="1" x14ac:dyDescent="0.35">
      <c r="B1737" s="57"/>
      <c r="C1737"/>
      <c r="D1737"/>
    </row>
    <row r="1738" spans="2:4" hidden="1" x14ac:dyDescent="0.35">
      <c r="B1738" s="57"/>
      <c r="C1738"/>
      <c r="D1738"/>
    </row>
    <row r="1739" spans="2:4" hidden="1" x14ac:dyDescent="0.35">
      <c r="B1739" s="57"/>
      <c r="C1739"/>
      <c r="D1739"/>
    </row>
    <row r="1740" spans="2:4" hidden="1" x14ac:dyDescent="0.35">
      <c r="B1740" s="57"/>
      <c r="C1740"/>
      <c r="D1740"/>
    </row>
    <row r="1741" spans="2:4" hidden="1" x14ac:dyDescent="0.35">
      <c r="B1741" s="57"/>
      <c r="C1741"/>
      <c r="D1741"/>
    </row>
    <row r="1742" spans="2:4" hidden="1" x14ac:dyDescent="0.35">
      <c r="B1742" s="57"/>
      <c r="C1742"/>
      <c r="D1742"/>
    </row>
    <row r="1743" spans="2:4" hidden="1" x14ac:dyDescent="0.35">
      <c r="B1743" s="57"/>
      <c r="C1743"/>
      <c r="D1743"/>
    </row>
    <row r="1744" spans="2:4" hidden="1" x14ac:dyDescent="0.35">
      <c r="B1744" s="57"/>
      <c r="C1744"/>
      <c r="D1744"/>
    </row>
    <row r="1745" spans="2:4" hidden="1" x14ac:dyDescent="0.35">
      <c r="B1745" s="57"/>
      <c r="C1745"/>
      <c r="D1745"/>
    </row>
    <row r="1746" spans="2:4" hidden="1" x14ac:dyDescent="0.35">
      <c r="B1746" s="57"/>
      <c r="C1746"/>
      <c r="D1746"/>
    </row>
    <row r="1747" spans="2:4" hidden="1" x14ac:dyDescent="0.35">
      <c r="B1747" s="57"/>
      <c r="C1747"/>
      <c r="D1747"/>
    </row>
    <row r="1748" spans="2:4" hidden="1" x14ac:dyDescent="0.35">
      <c r="B1748" s="57"/>
      <c r="C1748"/>
      <c r="D1748"/>
    </row>
    <row r="1749" spans="2:4" hidden="1" x14ac:dyDescent="0.35">
      <c r="B1749" s="57"/>
      <c r="C1749"/>
      <c r="D1749"/>
    </row>
    <row r="1750" spans="2:4" hidden="1" x14ac:dyDescent="0.35">
      <c r="B1750" s="57"/>
      <c r="C1750"/>
      <c r="D1750"/>
    </row>
    <row r="1751" spans="2:4" hidden="1" x14ac:dyDescent="0.35">
      <c r="B1751" s="57"/>
      <c r="C1751"/>
      <c r="D1751"/>
    </row>
    <row r="1752" spans="2:4" hidden="1" x14ac:dyDescent="0.35">
      <c r="B1752" s="57"/>
      <c r="C1752"/>
      <c r="D1752"/>
    </row>
    <row r="1753" spans="2:4" hidden="1" x14ac:dyDescent="0.35">
      <c r="B1753" s="57"/>
      <c r="C1753"/>
      <c r="D1753"/>
    </row>
    <row r="1754" spans="2:4" hidden="1" x14ac:dyDescent="0.35">
      <c r="B1754" s="57"/>
      <c r="C1754"/>
      <c r="D1754"/>
    </row>
    <row r="1755" spans="2:4" hidden="1" x14ac:dyDescent="0.35">
      <c r="B1755" s="57"/>
      <c r="C1755"/>
      <c r="D1755"/>
    </row>
    <row r="1756" spans="2:4" hidden="1" x14ac:dyDescent="0.35">
      <c r="B1756" s="57"/>
      <c r="C1756"/>
      <c r="D1756"/>
    </row>
    <row r="1757" spans="2:4" hidden="1" x14ac:dyDescent="0.35">
      <c r="B1757" s="57"/>
      <c r="C1757"/>
      <c r="D1757"/>
    </row>
    <row r="1758" spans="2:4" hidden="1" x14ac:dyDescent="0.35">
      <c r="B1758" s="57"/>
      <c r="C1758"/>
      <c r="D1758"/>
    </row>
    <row r="1759" spans="2:4" hidden="1" x14ac:dyDescent="0.35">
      <c r="B1759" s="57"/>
      <c r="C1759"/>
      <c r="D1759"/>
    </row>
    <row r="1760" spans="2:4" hidden="1" x14ac:dyDescent="0.35">
      <c r="B1760" s="57"/>
      <c r="C1760"/>
      <c r="D1760"/>
    </row>
    <row r="1761" spans="2:4" hidden="1" x14ac:dyDescent="0.35">
      <c r="B1761" s="57"/>
      <c r="C1761"/>
      <c r="D1761"/>
    </row>
    <row r="1762" spans="2:4" hidden="1" x14ac:dyDescent="0.35">
      <c r="B1762" s="57"/>
      <c r="C1762"/>
      <c r="D1762"/>
    </row>
    <row r="1763" spans="2:4" hidden="1" x14ac:dyDescent="0.35">
      <c r="B1763" s="57"/>
      <c r="C1763"/>
      <c r="D1763"/>
    </row>
    <row r="1764" spans="2:4" hidden="1" x14ac:dyDescent="0.35">
      <c r="B1764" s="57"/>
      <c r="C1764"/>
      <c r="D1764"/>
    </row>
    <row r="1765" spans="2:4" hidden="1" x14ac:dyDescent="0.35">
      <c r="B1765" s="57"/>
      <c r="C1765"/>
      <c r="D1765"/>
    </row>
    <row r="1766" spans="2:4" hidden="1" x14ac:dyDescent="0.35">
      <c r="B1766" s="57"/>
      <c r="C1766"/>
      <c r="D1766"/>
    </row>
    <row r="1767" spans="2:4" hidden="1" x14ac:dyDescent="0.35">
      <c r="B1767" s="57"/>
      <c r="C1767"/>
      <c r="D1767"/>
    </row>
    <row r="1768" spans="2:4" hidden="1" x14ac:dyDescent="0.35">
      <c r="B1768" s="57"/>
      <c r="C1768"/>
      <c r="D1768"/>
    </row>
    <row r="1769" spans="2:4" hidden="1" x14ac:dyDescent="0.35">
      <c r="B1769" s="57"/>
      <c r="C1769"/>
      <c r="D1769"/>
    </row>
    <row r="1770" spans="2:4" hidden="1" x14ac:dyDescent="0.35">
      <c r="B1770" s="57"/>
      <c r="C1770"/>
      <c r="D1770"/>
    </row>
    <row r="1771" spans="2:4" hidden="1" x14ac:dyDescent="0.35">
      <c r="B1771" s="57"/>
      <c r="C1771"/>
      <c r="D1771"/>
    </row>
    <row r="1772" spans="2:4" hidden="1" x14ac:dyDescent="0.35">
      <c r="B1772" s="57"/>
      <c r="C1772"/>
      <c r="D1772"/>
    </row>
    <row r="1773" spans="2:4" hidden="1" x14ac:dyDescent="0.35">
      <c r="B1773" s="57"/>
      <c r="C1773"/>
      <c r="D1773"/>
    </row>
    <row r="1774" spans="2:4" hidden="1" x14ac:dyDescent="0.35">
      <c r="B1774" s="57"/>
      <c r="C1774"/>
      <c r="D1774"/>
    </row>
    <row r="1775" spans="2:4" hidden="1" x14ac:dyDescent="0.35">
      <c r="B1775" s="57"/>
      <c r="C1775"/>
      <c r="D1775"/>
    </row>
    <row r="1776" spans="2:4" hidden="1" x14ac:dyDescent="0.35">
      <c r="B1776" s="57"/>
      <c r="C1776"/>
      <c r="D1776"/>
    </row>
    <row r="1777" spans="2:4" hidden="1" x14ac:dyDescent="0.35">
      <c r="B1777" s="57"/>
      <c r="C1777"/>
      <c r="D1777"/>
    </row>
    <row r="1778" spans="2:4" hidden="1" x14ac:dyDescent="0.35">
      <c r="B1778" s="57"/>
      <c r="C1778"/>
      <c r="D1778"/>
    </row>
    <row r="1779" spans="2:4" hidden="1" x14ac:dyDescent="0.35">
      <c r="B1779" s="57"/>
      <c r="C1779"/>
      <c r="D1779"/>
    </row>
    <row r="1780" spans="2:4" hidden="1" x14ac:dyDescent="0.35">
      <c r="B1780" s="57"/>
      <c r="C1780"/>
      <c r="D1780"/>
    </row>
    <row r="1781" spans="2:4" hidden="1" x14ac:dyDescent="0.35">
      <c r="B1781" s="57"/>
      <c r="C1781"/>
      <c r="D1781"/>
    </row>
    <row r="1782" spans="2:4" hidden="1" x14ac:dyDescent="0.35">
      <c r="B1782" s="57"/>
      <c r="C1782"/>
      <c r="D1782"/>
    </row>
    <row r="1783" spans="2:4" hidden="1" x14ac:dyDescent="0.35">
      <c r="B1783" s="57"/>
      <c r="C1783"/>
      <c r="D1783"/>
    </row>
    <row r="1784" spans="2:4" hidden="1" x14ac:dyDescent="0.35">
      <c r="B1784" s="57"/>
      <c r="C1784"/>
      <c r="D1784"/>
    </row>
    <row r="1785" spans="2:4" hidden="1" x14ac:dyDescent="0.35">
      <c r="B1785" s="57"/>
      <c r="C1785"/>
      <c r="D1785"/>
    </row>
    <row r="1786" spans="2:4" hidden="1" x14ac:dyDescent="0.35">
      <c r="B1786" s="57"/>
      <c r="C1786"/>
      <c r="D1786"/>
    </row>
    <row r="1787" spans="2:4" hidden="1" x14ac:dyDescent="0.35">
      <c r="B1787" s="57"/>
      <c r="C1787"/>
      <c r="D1787"/>
    </row>
    <row r="1788" spans="2:4" hidden="1" x14ac:dyDescent="0.35">
      <c r="B1788" s="57"/>
      <c r="C1788"/>
      <c r="D1788"/>
    </row>
    <row r="1789" spans="2:4" hidden="1" x14ac:dyDescent="0.35">
      <c r="B1789" s="57"/>
      <c r="C1789"/>
      <c r="D1789"/>
    </row>
    <row r="1790" spans="2:4" hidden="1" x14ac:dyDescent="0.35">
      <c r="B1790" s="57"/>
      <c r="C1790"/>
      <c r="D1790"/>
    </row>
    <row r="1791" spans="2:4" hidden="1" x14ac:dyDescent="0.35">
      <c r="B1791" s="57"/>
      <c r="C1791"/>
      <c r="D1791"/>
    </row>
    <row r="1792" spans="2:4" hidden="1" x14ac:dyDescent="0.35">
      <c r="B1792" s="57"/>
      <c r="C1792"/>
      <c r="D1792"/>
    </row>
    <row r="1793" spans="2:4" hidden="1" x14ac:dyDescent="0.35">
      <c r="B1793" s="57"/>
      <c r="C1793"/>
      <c r="D1793"/>
    </row>
    <row r="1794" spans="2:4" hidden="1" x14ac:dyDescent="0.35">
      <c r="B1794" s="57"/>
      <c r="C1794"/>
      <c r="D1794"/>
    </row>
    <row r="1795" spans="2:4" hidden="1" x14ac:dyDescent="0.35">
      <c r="B1795" s="57"/>
      <c r="C1795"/>
      <c r="D1795"/>
    </row>
    <row r="1796" spans="2:4" hidden="1" x14ac:dyDescent="0.35">
      <c r="B1796" s="57"/>
      <c r="C1796"/>
      <c r="D1796"/>
    </row>
    <row r="1797" spans="2:4" hidden="1" x14ac:dyDescent="0.35">
      <c r="B1797" s="57"/>
      <c r="C1797"/>
      <c r="D1797"/>
    </row>
    <row r="1798" spans="2:4" hidden="1" x14ac:dyDescent="0.35">
      <c r="B1798" s="57"/>
      <c r="C1798"/>
      <c r="D1798"/>
    </row>
    <row r="1799" spans="2:4" hidden="1" x14ac:dyDescent="0.35">
      <c r="B1799" s="57"/>
      <c r="C1799"/>
      <c r="D1799"/>
    </row>
    <row r="1800" spans="2:4" hidden="1" x14ac:dyDescent="0.35">
      <c r="B1800" s="57"/>
      <c r="C1800"/>
      <c r="D1800"/>
    </row>
    <row r="1801" spans="2:4" hidden="1" x14ac:dyDescent="0.35">
      <c r="B1801" s="57"/>
      <c r="C1801"/>
      <c r="D1801"/>
    </row>
    <row r="1802" spans="2:4" hidden="1" x14ac:dyDescent="0.35">
      <c r="B1802" s="57"/>
      <c r="C1802"/>
      <c r="D1802"/>
    </row>
    <row r="1803" spans="2:4" hidden="1" x14ac:dyDescent="0.35">
      <c r="B1803" s="57"/>
      <c r="C1803"/>
      <c r="D1803"/>
    </row>
    <row r="1804" spans="2:4" hidden="1" x14ac:dyDescent="0.35">
      <c r="B1804" s="57"/>
      <c r="C1804"/>
      <c r="D1804"/>
    </row>
    <row r="1805" spans="2:4" hidden="1" x14ac:dyDescent="0.35">
      <c r="B1805" s="57"/>
      <c r="C1805"/>
      <c r="D1805"/>
    </row>
    <row r="1806" spans="2:4" hidden="1" x14ac:dyDescent="0.35">
      <c r="B1806" s="57"/>
      <c r="C1806"/>
      <c r="D1806"/>
    </row>
    <row r="1807" spans="2:4" hidden="1" x14ac:dyDescent="0.35">
      <c r="B1807" s="57"/>
      <c r="C1807"/>
      <c r="D1807"/>
    </row>
    <row r="1808" spans="2:4" hidden="1" x14ac:dyDescent="0.35">
      <c r="B1808" s="57"/>
      <c r="C1808"/>
      <c r="D1808"/>
    </row>
    <row r="1809" spans="2:4" hidden="1" x14ac:dyDescent="0.35">
      <c r="B1809" s="57"/>
      <c r="C1809"/>
      <c r="D1809"/>
    </row>
    <row r="1810" spans="2:4" hidden="1" x14ac:dyDescent="0.35">
      <c r="B1810" s="57"/>
      <c r="C1810"/>
      <c r="D1810"/>
    </row>
    <row r="1811" spans="2:4" hidden="1" x14ac:dyDescent="0.35">
      <c r="B1811" s="57"/>
      <c r="C1811"/>
      <c r="D1811"/>
    </row>
    <row r="1812" spans="2:4" hidden="1" x14ac:dyDescent="0.35">
      <c r="B1812" s="57"/>
      <c r="C1812"/>
      <c r="D1812"/>
    </row>
    <row r="1813" spans="2:4" hidden="1" x14ac:dyDescent="0.35">
      <c r="B1813" s="57"/>
      <c r="C1813"/>
      <c r="D1813"/>
    </row>
    <row r="1814" spans="2:4" hidden="1" x14ac:dyDescent="0.35">
      <c r="B1814" s="57"/>
      <c r="C1814"/>
      <c r="D1814"/>
    </row>
    <row r="1815" spans="2:4" hidden="1" x14ac:dyDescent="0.35">
      <c r="B1815" s="57"/>
      <c r="C1815"/>
      <c r="D1815"/>
    </row>
    <row r="1816" spans="2:4" hidden="1" x14ac:dyDescent="0.35">
      <c r="B1816" s="57"/>
      <c r="C1816"/>
      <c r="D1816"/>
    </row>
    <row r="1817" spans="2:4" hidden="1" x14ac:dyDescent="0.35">
      <c r="B1817" s="57"/>
      <c r="C1817"/>
      <c r="D1817"/>
    </row>
    <row r="1818" spans="2:4" hidden="1" x14ac:dyDescent="0.35">
      <c r="B1818" s="57"/>
      <c r="C1818"/>
      <c r="D1818"/>
    </row>
    <row r="1819" spans="2:4" hidden="1" x14ac:dyDescent="0.35">
      <c r="B1819" s="57"/>
      <c r="C1819"/>
      <c r="D1819"/>
    </row>
    <row r="1820" spans="2:4" hidden="1" x14ac:dyDescent="0.35">
      <c r="B1820" s="57"/>
      <c r="C1820"/>
      <c r="D1820"/>
    </row>
    <row r="1821" spans="2:4" hidden="1" x14ac:dyDescent="0.35">
      <c r="B1821" s="57"/>
      <c r="C1821"/>
      <c r="D1821"/>
    </row>
    <row r="1822" spans="2:4" hidden="1" x14ac:dyDescent="0.35">
      <c r="B1822" s="57"/>
      <c r="C1822"/>
      <c r="D1822"/>
    </row>
    <row r="1823" spans="2:4" hidden="1" x14ac:dyDescent="0.35">
      <c r="B1823" s="57"/>
      <c r="C1823"/>
      <c r="D1823"/>
    </row>
    <row r="1824" spans="2:4" hidden="1" x14ac:dyDescent="0.35">
      <c r="B1824" s="57"/>
      <c r="C1824"/>
      <c r="D1824"/>
    </row>
    <row r="1825" spans="2:4" hidden="1" x14ac:dyDescent="0.35">
      <c r="B1825" s="57"/>
      <c r="C1825"/>
      <c r="D1825"/>
    </row>
    <row r="1826" spans="2:4" hidden="1" x14ac:dyDescent="0.35">
      <c r="B1826" s="57"/>
      <c r="C1826"/>
      <c r="D1826"/>
    </row>
    <row r="1827" spans="2:4" hidden="1" x14ac:dyDescent="0.35">
      <c r="B1827" s="57"/>
      <c r="C1827"/>
      <c r="D1827"/>
    </row>
    <row r="1828" spans="2:4" hidden="1" x14ac:dyDescent="0.35">
      <c r="B1828" s="57"/>
      <c r="C1828"/>
      <c r="D1828"/>
    </row>
    <row r="1829" spans="2:4" hidden="1" x14ac:dyDescent="0.35">
      <c r="B1829" s="57"/>
      <c r="C1829"/>
      <c r="D1829"/>
    </row>
    <row r="1830" spans="2:4" hidden="1" x14ac:dyDescent="0.35">
      <c r="B1830" s="57"/>
      <c r="C1830"/>
      <c r="D1830"/>
    </row>
    <row r="1831" spans="2:4" hidden="1" x14ac:dyDescent="0.35">
      <c r="B1831" s="57"/>
      <c r="C1831"/>
      <c r="D1831"/>
    </row>
    <row r="1832" spans="2:4" hidden="1" x14ac:dyDescent="0.35">
      <c r="B1832" s="57"/>
      <c r="C1832"/>
      <c r="D1832"/>
    </row>
    <row r="1833" spans="2:4" hidden="1" x14ac:dyDescent="0.35">
      <c r="B1833" s="57"/>
      <c r="C1833"/>
      <c r="D1833"/>
    </row>
    <row r="1834" spans="2:4" hidden="1" x14ac:dyDescent="0.35">
      <c r="B1834" s="57"/>
      <c r="C1834"/>
      <c r="D1834"/>
    </row>
    <row r="1835" spans="2:4" hidden="1" x14ac:dyDescent="0.35">
      <c r="B1835" s="57"/>
      <c r="C1835"/>
      <c r="D1835"/>
    </row>
    <row r="1836" spans="2:4" hidden="1" x14ac:dyDescent="0.35">
      <c r="B1836" s="57"/>
      <c r="C1836"/>
      <c r="D1836"/>
    </row>
    <row r="1837" spans="2:4" hidden="1" x14ac:dyDescent="0.35">
      <c r="B1837" s="57"/>
      <c r="C1837"/>
      <c r="D1837"/>
    </row>
    <row r="1838" spans="2:4" hidden="1" x14ac:dyDescent="0.35">
      <c r="B1838" s="57"/>
      <c r="C1838"/>
      <c r="D1838"/>
    </row>
    <row r="1839" spans="2:4" hidden="1" x14ac:dyDescent="0.35">
      <c r="B1839" s="57"/>
      <c r="C1839"/>
      <c r="D1839"/>
    </row>
    <row r="1840" spans="2:4" hidden="1" x14ac:dyDescent="0.35">
      <c r="B1840" s="57"/>
      <c r="C1840"/>
      <c r="D1840"/>
    </row>
    <row r="1841" spans="2:4" hidden="1" x14ac:dyDescent="0.35">
      <c r="B1841" s="57"/>
      <c r="C1841"/>
      <c r="D1841"/>
    </row>
    <row r="1842" spans="2:4" hidden="1" x14ac:dyDescent="0.35">
      <c r="B1842" s="57"/>
      <c r="C1842"/>
      <c r="D1842"/>
    </row>
    <row r="1843" spans="2:4" hidden="1" x14ac:dyDescent="0.35">
      <c r="B1843" s="57"/>
      <c r="C1843"/>
      <c r="D1843"/>
    </row>
    <row r="1844" spans="2:4" hidden="1" x14ac:dyDescent="0.35">
      <c r="B1844" s="57"/>
      <c r="C1844"/>
      <c r="D1844"/>
    </row>
    <row r="1845" spans="2:4" hidden="1" x14ac:dyDescent="0.35">
      <c r="B1845" s="57"/>
      <c r="C1845"/>
      <c r="D1845"/>
    </row>
    <row r="1846" spans="2:4" hidden="1" x14ac:dyDescent="0.35">
      <c r="B1846" s="57"/>
      <c r="C1846"/>
      <c r="D1846"/>
    </row>
    <row r="1847" spans="2:4" hidden="1" x14ac:dyDescent="0.35">
      <c r="B1847" s="57"/>
      <c r="C1847"/>
      <c r="D1847"/>
    </row>
    <row r="1848" spans="2:4" hidden="1" x14ac:dyDescent="0.35">
      <c r="B1848" s="57"/>
      <c r="C1848"/>
      <c r="D1848"/>
    </row>
    <row r="1849" spans="2:4" hidden="1" x14ac:dyDescent="0.35">
      <c r="B1849" s="57"/>
      <c r="C1849"/>
      <c r="D1849"/>
    </row>
    <row r="1850" spans="2:4" hidden="1" x14ac:dyDescent="0.35">
      <c r="B1850" s="57"/>
      <c r="C1850"/>
      <c r="D1850"/>
    </row>
    <row r="1851" spans="2:4" hidden="1" x14ac:dyDescent="0.35">
      <c r="B1851" s="57"/>
      <c r="C1851"/>
      <c r="D1851"/>
    </row>
    <row r="1852" spans="2:4" hidden="1" x14ac:dyDescent="0.35">
      <c r="B1852" s="57"/>
      <c r="C1852"/>
      <c r="D1852"/>
    </row>
    <row r="1853" spans="2:4" hidden="1" x14ac:dyDescent="0.35">
      <c r="B1853" s="57"/>
      <c r="C1853"/>
      <c r="D1853"/>
    </row>
    <row r="1854" spans="2:4" hidden="1" x14ac:dyDescent="0.35">
      <c r="B1854" s="57"/>
      <c r="C1854"/>
      <c r="D1854"/>
    </row>
    <row r="1855" spans="2:4" hidden="1" x14ac:dyDescent="0.35">
      <c r="B1855" s="57"/>
      <c r="C1855"/>
      <c r="D1855"/>
    </row>
    <row r="1856" spans="2:4" hidden="1" x14ac:dyDescent="0.35">
      <c r="B1856" s="57"/>
      <c r="C1856"/>
      <c r="D1856"/>
    </row>
    <row r="1857" spans="2:4" hidden="1" x14ac:dyDescent="0.35">
      <c r="B1857" s="57"/>
      <c r="C1857"/>
      <c r="D1857"/>
    </row>
    <row r="1858" spans="2:4" hidden="1" x14ac:dyDescent="0.35">
      <c r="B1858" s="57"/>
      <c r="C1858"/>
      <c r="D1858"/>
    </row>
    <row r="1859" spans="2:4" hidden="1" x14ac:dyDescent="0.35">
      <c r="B1859" s="57"/>
      <c r="C1859"/>
      <c r="D1859"/>
    </row>
    <row r="1860" spans="2:4" hidden="1" x14ac:dyDescent="0.35">
      <c r="B1860" s="57"/>
      <c r="C1860"/>
      <c r="D1860"/>
    </row>
    <row r="1861" spans="2:4" hidden="1" x14ac:dyDescent="0.35">
      <c r="B1861" s="57"/>
      <c r="C1861"/>
      <c r="D1861"/>
    </row>
    <row r="1862" spans="2:4" hidden="1" x14ac:dyDescent="0.35">
      <c r="B1862" s="57"/>
      <c r="C1862"/>
      <c r="D1862"/>
    </row>
    <row r="1863" spans="2:4" hidden="1" x14ac:dyDescent="0.35">
      <c r="B1863" s="57"/>
      <c r="C1863"/>
      <c r="D1863"/>
    </row>
    <row r="1864" spans="2:4" hidden="1" x14ac:dyDescent="0.35">
      <c r="B1864" s="57"/>
      <c r="C1864"/>
      <c r="D1864"/>
    </row>
    <row r="1865" spans="2:4" hidden="1" x14ac:dyDescent="0.35">
      <c r="B1865" s="57"/>
      <c r="C1865"/>
      <c r="D1865"/>
    </row>
    <row r="1866" spans="2:4" hidden="1" x14ac:dyDescent="0.35">
      <c r="B1866" s="57"/>
      <c r="C1866"/>
      <c r="D1866"/>
    </row>
    <row r="1867" spans="2:4" hidden="1" x14ac:dyDescent="0.35">
      <c r="B1867" s="57"/>
      <c r="C1867"/>
      <c r="D1867"/>
    </row>
    <row r="1868" spans="2:4" hidden="1" x14ac:dyDescent="0.35">
      <c r="B1868" s="57"/>
      <c r="C1868"/>
      <c r="D1868"/>
    </row>
    <row r="1869" spans="2:4" hidden="1" x14ac:dyDescent="0.35">
      <c r="B1869" s="57"/>
      <c r="C1869"/>
      <c r="D1869"/>
    </row>
    <row r="1870" spans="2:4" hidden="1" x14ac:dyDescent="0.35">
      <c r="B1870" s="57"/>
      <c r="C1870"/>
      <c r="D1870"/>
    </row>
    <row r="1871" spans="2:4" hidden="1" x14ac:dyDescent="0.35">
      <c r="B1871" s="57"/>
      <c r="C1871"/>
      <c r="D1871"/>
    </row>
    <row r="1872" spans="2:4" hidden="1" x14ac:dyDescent="0.35">
      <c r="B1872" s="57"/>
      <c r="C1872"/>
      <c r="D1872"/>
    </row>
    <row r="1873" spans="2:4" hidden="1" x14ac:dyDescent="0.35">
      <c r="B1873" s="57"/>
      <c r="C1873"/>
      <c r="D1873"/>
    </row>
    <row r="1874" spans="2:4" hidden="1" x14ac:dyDescent="0.35">
      <c r="B1874" s="57"/>
      <c r="C1874"/>
      <c r="D1874"/>
    </row>
    <row r="1875" spans="2:4" hidden="1" x14ac:dyDescent="0.35">
      <c r="B1875" s="57"/>
      <c r="C1875"/>
      <c r="D1875"/>
    </row>
    <row r="1876" spans="2:4" hidden="1" x14ac:dyDescent="0.35">
      <c r="B1876" s="57"/>
      <c r="C1876"/>
      <c r="D1876"/>
    </row>
    <row r="1877" spans="2:4" hidden="1" x14ac:dyDescent="0.35">
      <c r="B1877" s="57"/>
      <c r="C1877"/>
      <c r="D1877"/>
    </row>
    <row r="1878" spans="2:4" hidden="1" x14ac:dyDescent="0.35">
      <c r="B1878" s="57"/>
      <c r="C1878"/>
      <c r="D1878"/>
    </row>
    <row r="1879" spans="2:4" hidden="1" x14ac:dyDescent="0.35">
      <c r="B1879" s="57"/>
      <c r="C1879"/>
      <c r="D1879"/>
    </row>
    <row r="1880" spans="2:4" hidden="1" x14ac:dyDescent="0.35">
      <c r="B1880" s="57"/>
      <c r="C1880"/>
      <c r="D1880"/>
    </row>
    <row r="1881" spans="2:4" hidden="1" x14ac:dyDescent="0.35">
      <c r="B1881" s="57"/>
      <c r="C1881"/>
      <c r="D1881"/>
    </row>
    <row r="1882" spans="2:4" hidden="1" x14ac:dyDescent="0.35">
      <c r="B1882" s="57"/>
      <c r="C1882"/>
      <c r="D1882"/>
    </row>
    <row r="1883" spans="2:4" hidden="1" x14ac:dyDescent="0.35">
      <c r="B1883" s="57"/>
      <c r="C1883"/>
      <c r="D1883"/>
    </row>
    <row r="1884" spans="2:4" hidden="1" x14ac:dyDescent="0.35">
      <c r="B1884" s="57"/>
      <c r="C1884"/>
      <c r="D1884"/>
    </row>
    <row r="1885" spans="2:4" hidden="1" x14ac:dyDescent="0.35">
      <c r="B1885" s="57"/>
      <c r="C1885"/>
      <c r="D1885"/>
    </row>
    <row r="1886" spans="2:4" hidden="1" x14ac:dyDescent="0.35">
      <c r="B1886" s="57"/>
      <c r="C1886"/>
      <c r="D1886"/>
    </row>
    <row r="1887" spans="2:4" hidden="1" x14ac:dyDescent="0.35">
      <c r="B1887" s="57"/>
      <c r="C1887"/>
      <c r="D1887"/>
    </row>
    <row r="1888" spans="2:4" hidden="1" x14ac:dyDescent="0.35">
      <c r="B1888" s="57"/>
      <c r="C1888"/>
      <c r="D1888"/>
    </row>
    <row r="1889" spans="2:4" hidden="1" x14ac:dyDescent="0.35">
      <c r="B1889" s="57"/>
      <c r="C1889"/>
      <c r="D1889"/>
    </row>
    <row r="1890" spans="2:4" hidden="1" x14ac:dyDescent="0.35">
      <c r="B1890" s="57"/>
      <c r="C1890"/>
      <c r="D1890"/>
    </row>
    <row r="1891" spans="2:4" hidden="1" x14ac:dyDescent="0.35">
      <c r="B1891" s="57"/>
      <c r="C1891"/>
      <c r="D1891"/>
    </row>
    <row r="1892" spans="2:4" hidden="1" x14ac:dyDescent="0.35">
      <c r="B1892" s="57"/>
      <c r="C1892"/>
      <c r="D1892"/>
    </row>
    <row r="1893" spans="2:4" hidden="1" x14ac:dyDescent="0.35">
      <c r="B1893" s="57"/>
      <c r="C1893"/>
      <c r="D1893"/>
    </row>
    <row r="1894" spans="2:4" hidden="1" x14ac:dyDescent="0.35">
      <c r="B1894" s="57"/>
      <c r="C1894"/>
      <c r="D1894"/>
    </row>
    <row r="1895" spans="2:4" hidden="1" x14ac:dyDescent="0.35">
      <c r="B1895" s="57"/>
      <c r="C1895"/>
      <c r="D1895"/>
    </row>
    <row r="1896" spans="2:4" hidden="1" x14ac:dyDescent="0.35">
      <c r="B1896" s="57"/>
      <c r="C1896"/>
      <c r="D1896"/>
    </row>
    <row r="1897" spans="2:4" hidden="1" x14ac:dyDescent="0.35">
      <c r="B1897" s="57"/>
      <c r="C1897"/>
      <c r="D1897"/>
    </row>
    <row r="1898" spans="2:4" hidden="1" x14ac:dyDescent="0.35">
      <c r="B1898" s="57"/>
      <c r="C1898"/>
      <c r="D1898"/>
    </row>
    <row r="1899" spans="2:4" hidden="1" x14ac:dyDescent="0.35">
      <c r="B1899" s="57"/>
      <c r="C1899"/>
      <c r="D1899"/>
    </row>
    <row r="1900" spans="2:4" hidden="1" x14ac:dyDescent="0.35">
      <c r="B1900" s="57"/>
      <c r="C1900"/>
      <c r="D1900"/>
    </row>
    <row r="1901" spans="2:4" hidden="1" x14ac:dyDescent="0.35">
      <c r="B1901" s="57"/>
      <c r="C1901"/>
      <c r="D1901"/>
    </row>
    <row r="1902" spans="2:4" hidden="1" x14ac:dyDescent="0.35">
      <c r="B1902" s="57"/>
      <c r="C1902"/>
      <c r="D1902"/>
    </row>
    <row r="1903" spans="2:4" hidden="1" x14ac:dyDescent="0.35">
      <c r="B1903" s="57"/>
      <c r="C1903"/>
      <c r="D1903"/>
    </row>
    <row r="1904" spans="2:4" hidden="1" x14ac:dyDescent="0.35">
      <c r="B1904" s="57"/>
      <c r="C1904"/>
      <c r="D1904"/>
    </row>
    <row r="1905" spans="2:4" hidden="1" x14ac:dyDescent="0.35">
      <c r="B1905" s="57"/>
      <c r="C1905"/>
      <c r="D1905"/>
    </row>
    <row r="1906" spans="2:4" hidden="1" x14ac:dyDescent="0.35">
      <c r="B1906" s="57"/>
      <c r="C1906"/>
      <c r="D1906"/>
    </row>
    <row r="1907" spans="2:4" hidden="1" x14ac:dyDescent="0.35">
      <c r="B1907" s="57"/>
      <c r="C1907"/>
      <c r="D1907"/>
    </row>
    <row r="1908" spans="2:4" hidden="1" x14ac:dyDescent="0.35">
      <c r="B1908" s="57"/>
      <c r="C1908"/>
      <c r="D1908"/>
    </row>
    <row r="1909" spans="2:4" hidden="1" x14ac:dyDescent="0.35">
      <c r="B1909" s="57"/>
      <c r="C1909"/>
      <c r="D1909"/>
    </row>
    <row r="1910" spans="2:4" hidden="1" x14ac:dyDescent="0.35">
      <c r="B1910" s="57"/>
      <c r="C1910"/>
      <c r="D1910"/>
    </row>
    <row r="1911" spans="2:4" hidden="1" x14ac:dyDescent="0.35">
      <c r="B1911" s="57"/>
      <c r="C1911"/>
      <c r="D1911"/>
    </row>
    <row r="1912" spans="2:4" hidden="1" x14ac:dyDescent="0.35">
      <c r="B1912" s="57"/>
      <c r="C1912"/>
      <c r="D1912"/>
    </row>
    <row r="1913" spans="2:4" hidden="1" x14ac:dyDescent="0.35">
      <c r="B1913" s="57"/>
      <c r="C1913"/>
      <c r="D1913"/>
    </row>
    <row r="1914" spans="2:4" hidden="1" x14ac:dyDescent="0.35">
      <c r="B1914" s="57"/>
      <c r="C1914"/>
      <c r="D1914"/>
    </row>
    <row r="1915" spans="2:4" hidden="1" x14ac:dyDescent="0.35">
      <c r="B1915" s="57"/>
      <c r="C1915"/>
      <c r="D1915"/>
    </row>
    <row r="1916" spans="2:4" hidden="1" x14ac:dyDescent="0.35">
      <c r="B1916" s="57"/>
      <c r="C1916"/>
      <c r="D1916"/>
    </row>
    <row r="1917" spans="2:4" hidden="1" x14ac:dyDescent="0.35">
      <c r="B1917" s="57"/>
      <c r="C1917"/>
      <c r="D1917"/>
    </row>
    <row r="1918" spans="2:4" hidden="1" x14ac:dyDescent="0.35">
      <c r="B1918" s="57"/>
      <c r="C1918"/>
      <c r="D1918"/>
    </row>
    <row r="1919" spans="2:4" hidden="1" x14ac:dyDescent="0.35">
      <c r="B1919" s="57"/>
      <c r="C1919"/>
      <c r="D1919"/>
    </row>
    <row r="1920" spans="2:4" hidden="1" x14ac:dyDescent="0.35">
      <c r="B1920" s="57"/>
      <c r="C1920"/>
      <c r="D1920"/>
    </row>
    <row r="1921" spans="2:4" hidden="1" x14ac:dyDescent="0.35">
      <c r="B1921" s="57"/>
      <c r="C1921"/>
      <c r="D1921"/>
    </row>
    <row r="1922" spans="2:4" hidden="1" x14ac:dyDescent="0.35">
      <c r="B1922" s="57"/>
      <c r="C1922"/>
      <c r="D1922"/>
    </row>
    <row r="1923" spans="2:4" hidden="1" x14ac:dyDescent="0.35">
      <c r="B1923" s="57"/>
      <c r="C1923"/>
      <c r="D1923"/>
    </row>
    <row r="1924" spans="2:4" hidden="1" x14ac:dyDescent="0.35">
      <c r="B1924" s="57"/>
      <c r="C1924"/>
      <c r="D1924"/>
    </row>
    <row r="1925" spans="2:4" hidden="1" x14ac:dyDescent="0.35">
      <c r="B1925" s="57"/>
      <c r="C1925"/>
      <c r="D1925"/>
    </row>
    <row r="1926" spans="2:4" hidden="1" x14ac:dyDescent="0.35">
      <c r="B1926" s="57"/>
      <c r="C1926"/>
      <c r="D1926"/>
    </row>
    <row r="1927" spans="2:4" hidden="1" x14ac:dyDescent="0.35">
      <c r="B1927" s="57"/>
      <c r="C1927"/>
      <c r="D1927"/>
    </row>
    <row r="1928" spans="2:4" hidden="1" x14ac:dyDescent="0.35">
      <c r="B1928" s="57"/>
      <c r="C1928"/>
      <c r="D1928"/>
    </row>
    <row r="1929" spans="2:4" hidden="1" x14ac:dyDescent="0.35">
      <c r="B1929" s="57"/>
      <c r="C1929"/>
      <c r="D1929"/>
    </row>
    <row r="1930" spans="2:4" hidden="1" x14ac:dyDescent="0.35">
      <c r="B1930" s="57"/>
      <c r="C1930"/>
      <c r="D1930"/>
    </row>
    <row r="1931" spans="2:4" hidden="1" x14ac:dyDescent="0.35">
      <c r="B1931" s="57"/>
      <c r="C1931"/>
      <c r="D1931"/>
    </row>
    <row r="1932" spans="2:4" hidden="1" x14ac:dyDescent="0.35">
      <c r="B1932" s="57"/>
      <c r="C1932"/>
      <c r="D1932"/>
    </row>
    <row r="1933" spans="2:4" hidden="1" x14ac:dyDescent="0.35">
      <c r="B1933" s="57"/>
      <c r="C1933"/>
      <c r="D1933"/>
    </row>
    <row r="1934" spans="2:4" hidden="1" x14ac:dyDescent="0.35">
      <c r="B1934" s="57"/>
      <c r="C1934"/>
      <c r="D1934"/>
    </row>
    <row r="1935" spans="2:4" hidden="1" x14ac:dyDescent="0.35">
      <c r="B1935" s="57"/>
      <c r="C1935"/>
      <c r="D1935"/>
    </row>
    <row r="1936" spans="2:4" hidden="1" x14ac:dyDescent="0.35">
      <c r="B1936" s="57"/>
      <c r="C1936"/>
      <c r="D1936"/>
    </row>
    <row r="1937" spans="2:4" hidden="1" x14ac:dyDescent="0.35">
      <c r="B1937" s="57"/>
      <c r="C1937"/>
      <c r="D1937"/>
    </row>
    <row r="1938" spans="2:4" hidden="1" x14ac:dyDescent="0.35">
      <c r="B1938" s="57"/>
      <c r="C1938"/>
      <c r="D1938"/>
    </row>
    <row r="1939" spans="2:4" hidden="1" x14ac:dyDescent="0.35">
      <c r="B1939" s="57"/>
      <c r="C1939"/>
      <c r="D1939"/>
    </row>
    <row r="1940" spans="2:4" hidden="1" x14ac:dyDescent="0.35">
      <c r="B1940" s="57"/>
      <c r="C1940"/>
      <c r="D1940"/>
    </row>
    <row r="1941" spans="2:4" hidden="1" x14ac:dyDescent="0.35">
      <c r="B1941" s="57"/>
      <c r="C1941"/>
      <c r="D1941"/>
    </row>
    <row r="1942" spans="2:4" hidden="1" x14ac:dyDescent="0.35">
      <c r="B1942" s="57"/>
      <c r="C1942"/>
      <c r="D1942"/>
    </row>
    <row r="1943" spans="2:4" hidden="1" x14ac:dyDescent="0.35">
      <c r="B1943" s="57"/>
      <c r="C1943"/>
      <c r="D1943"/>
    </row>
    <row r="1944" spans="2:4" hidden="1" x14ac:dyDescent="0.35">
      <c r="B1944" s="57"/>
      <c r="C1944"/>
      <c r="D1944"/>
    </row>
    <row r="1945" spans="2:4" hidden="1" x14ac:dyDescent="0.35">
      <c r="B1945" s="57"/>
      <c r="C1945"/>
      <c r="D1945"/>
    </row>
    <row r="1946" spans="2:4" hidden="1" x14ac:dyDescent="0.35">
      <c r="B1946" s="57"/>
      <c r="C1946"/>
      <c r="D1946"/>
    </row>
    <row r="1947" spans="2:4" hidden="1" x14ac:dyDescent="0.35">
      <c r="B1947" s="57"/>
      <c r="C1947"/>
      <c r="D1947"/>
    </row>
    <row r="1948" spans="2:4" hidden="1" x14ac:dyDescent="0.35">
      <c r="B1948" s="57"/>
      <c r="C1948"/>
      <c r="D1948"/>
    </row>
    <row r="1949" spans="2:4" hidden="1" x14ac:dyDescent="0.35">
      <c r="B1949" s="57"/>
      <c r="C1949"/>
      <c r="D1949"/>
    </row>
    <row r="1950" spans="2:4" hidden="1" x14ac:dyDescent="0.35">
      <c r="B1950" s="57"/>
      <c r="C1950"/>
      <c r="D1950"/>
    </row>
    <row r="1951" spans="2:4" hidden="1" x14ac:dyDescent="0.35">
      <c r="B1951" s="57"/>
      <c r="C1951"/>
      <c r="D1951"/>
    </row>
    <row r="1952" spans="2:4" hidden="1" x14ac:dyDescent="0.35">
      <c r="B1952" s="57"/>
      <c r="C1952"/>
      <c r="D1952"/>
    </row>
    <row r="1953" spans="2:4" hidden="1" x14ac:dyDescent="0.35">
      <c r="B1953" s="57"/>
      <c r="C1953"/>
      <c r="D1953"/>
    </row>
    <row r="1954" spans="2:4" hidden="1" x14ac:dyDescent="0.35">
      <c r="B1954" s="57"/>
      <c r="C1954"/>
      <c r="D1954"/>
    </row>
    <row r="1955" spans="2:4" hidden="1" x14ac:dyDescent="0.35">
      <c r="B1955" s="57"/>
      <c r="C1955"/>
      <c r="D1955"/>
    </row>
    <row r="1956" spans="2:4" hidden="1" x14ac:dyDescent="0.35">
      <c r="B1956" s="57"/>
      <c r="C1956"/>
      <c r="D1956"/>
    </row>
    <row r="1957" spans="2:4" hidden="1" x14ac:dyDescent="0.35">
      <c r="B1957" s="57"/>
      <c r="C1957"/>
      <c r="D1957"/>
    </row>
    <row r="1958" spans="2:4" hidden="1" x14ac:dyDescent="0.35">
      <c r="B1958" s="57"/>
      <c r="C1958"/>
      <c r="D1958"/>
    </row>
    <row r="1959" spans="2:4" hidden="1" x14ac:dyDescent="0.35">
      <c r="B1959" s="57"/>
      <c r="C1959"/>
      <c r="D1959"/>
    </row>
    <row r="1960" spans="2:4" hidden="1" x14ac:dyDescent="0.35">
      <c r="B1960" s="57"/>
      <c r="C1960"/>
      <c r="D1960"/>
    </row>
    <row r="1961" spans="2:4" hidden="1" x14ac:dyDescent="0.35">
      <c r="B1961" s="57"/>
      <c r="C1961"/>
      <c r="D1961"/>
    </row>
    <row r="1962" spans="2:4" hidden="1" x14ac:dyDescent="0.35">
      <c r="B1962" s="57"/>
      <c r="C1962"/>
      <c r="D1962"/>
    </row>
    <row r="1963" spans="2:4" hidden="1" x14ac:dyDescent="0.35">
      <c r="B1963" s="57"/>
      <c r="C1963"/>
      <c r="D1963"/>
    </row>
    <row r="1964" spans="2:4" hidden="1" x14ac:dyDescent="0.35">
      <c r="B1964" s="57"/>
      <c r="C1964"/>
      <c r="D1964"/>
    </row>
    <row r="1965" spans="2:4" hidden="1" x14ac:dyDescent="0.35">
      <c r="B1965" s="57"/>
      <c r="C1965"/>
      <c r="D1965"/>
    </row>
    <row r="1966" spans="2:4" hidden="1" x14ac:dyDescent="0.35">
      <c r="B1966" s="57"/>
      <c r="C1966"/>
      <c r="D1966"/>
    </row>
    <row r="1967" spans="2:4" hidden="1" x14ac:dyDescent="0.35">
      <c r="B1967" s="57"/>
      <c r="C1967"/>
      <c r="D1967"/>
    </row>
    <row r="1968" spans="2:4" hidden="1" x14ac:dyDescent="0.35">
      <c r="B1968" s="57"/>
      <c r="C1968"/>
      <c r="D1968"/>
    </row>
    <row r="1969" spans="2:4" hidden="1" x14ac:dyDescent="0.35">
      <c r="B1969" s="57"/>
      <c r="C1969"/>
      <c r="D1969"/>
    </row>
    <row r="1970" spans="2:4" hidden="1" x14ac:dyDescent="0.35">
      <c r="B1970" s="57"/>
      <c r="C1970"/>
      <c r="D1970"/>
    </row>
    <row r="1971" spans="2:4" hidden="1" x14ac:dyDescent="0.35">
      <c r="B1971" s="57"/>
      <c r="C1971"/>
      <c r="D1971"/>
    </row>
    <row r="1972" spans="2:4" hidden="1" x14ac:dyDescent="0.35">
      <c r="B1972" s="57"/>
      <c r="C1972"/>
      <c r="D1972"/>
    </row>
    <row r="1973" spans="2:4" hidden="1" x14ac:dyDescent="0.35">
      <c r="B1973" s="57"/>
      <c r="C1973"/>
      <c r="D1973"/>
    </row>
    <row r="1974" spans="2:4" hidden="1" x14ac:dyDescent="0.35">
      <c r="B1974" s="57"/>
      <c r="C1974"/>
      <c r="D1974"/>
    </row>
    <row r="1975" spans="2:4" hidden="1" x14ac:dyDescent="0.35">
      <c r="B1975" s="57"/>
      <c r="C1975"/>
      <c r="D1975"/>
    </row>
    <row r="1976" spans="2:4" hidden="1" x14ac:dyDescent="0.35">
      <c r="B1976" s="57"/>
      <c r="C1976"/>
      <c r="D1976"/>
    </row>
    <row r="1977" spans="2:4" hidden="1" x14ac:dyDescent="0.35">
      <c r="B1977" s="57"/>
      <c r="C1977"/>
      <c r="D1977"/>
    </row>
    <row r="1978" spans="2:4" hidden="1" x14ac:dyDescent="0.35">
      <c r="B1978" s="57"/>
      <c r="C1978"/>
      <c r="D1978"/>
    </row>
    <row r="1979" spans="2:4" hidden="1" x14ac:dyDescent="0.35">
      <c r="B1979" s="57"/>
      <c r="C1979"/>
      <c r="D1979"/>
    </row>
    <row r="1980" spans="2:4" hidden="1" x14ac:dyDescent="0.35">
      <c r="B1980" s="57"/>
      <c r="C1980"/>
      <c r="D1980"/>
    </row>
    <row r="1981" spans="2:4" hidden="1" x14ac:dyDescent="0.35">
      <c r="B1981" s="57"/>
      <c r="C1981"/>
      <c r="D1981"/>
    </row>
    <row r="1982" spans="2:4" hidden="1" x14ac:dyDescent="0.35">
      <c r="B1982" s="57"/>
      <c r="C1982"/>
      <c r="D1982"/>
    </row>
    <row r="1983" spans="2:4" hidden="1" x14ac:dyDescent="0.35">
      <c r="B1983" s="57"/>
      <c r="C1983"/>
      <c r="D1983"/>
    </row>
    <row r="1984" spans="2:4" hidden="1" x14ac:dyDescent="0.35">
      <c r="B1984" s="57"/>
      <c r="C1984"/>
      <c r="D1984"/>
    </row>
    <row r="1985" spans="2:4" hidden="1" x14ac:dyDescent="0.35">
      <c r="B1985" s="57"/>
      <c r="C1985"/>
      <c r="D1985"/>
    </row>
    <row r="1986" spans="2:4" hidden="1" x14ac:dyDescent="0.35">
      <c r="B1986" s="57"/>
      <c r="C1986"/>
      <c r="D1986"/>
    </row>
    <row r="1987" spans="2:4" hidden="1" x14ac:dyDescent="0.35">
      <c r="B1987" s="57"/>
      <c r="C1987"/>
      <c r="D1987"/>
    </row>
    <row r="1988" spans="2:4" hidden="1" x14ac:dyDescent="0.35">
      <c r="B1988" s="57"/>
      <c r="C1988"/>
      <c r="D1988"/>
    </row>
    <row r="1989" spans="2:4" hidden="1" x14ac:dyDescent="0.35">
      <c r="B1989" s="57"/>
      <c r="C1989"/>
      <c r="D1989"/>
    </row>
    <row r="1990" spans="2:4" hidden="1" x14ac:dyDescent="0.35">
      <c r="B1990" s="57"/>
      <c r="C1990"/>
      <c r="D1990"/>
    </row>
    <row r="1991" spans="2:4" hidden="1" x14ac:dyDescent="0.35">
      <c r="B1991" s="57"/>
      <c r="C1991"/>
      <c r="D1991"/>
    </row>
    <row r="1992" spans="2:4" hidden="1" x14ac:dyDescent="0.35">
      <c r="B1992" s="57"/>
      <c r="C1992"/>
      <c r="D1992"/>
    </row>
    <row r="1993" spans="2:4" hidden="1" x14ac:dyDescent="0.35">
      <c r="B1993" s="57"/>
      <c r="C1993"/>
      <c r="D1993"/>
    </row>
    <row r="1994" spans="2:4" hidden="1" x14ac:dyDescent="0.35">
      <c r="B1994" s="57"/>
      <c r="C1994"/>
      <c r="D1994"/>
    </row>
    <row r="1995" spans="2:4" hidden="1" x14ac:dyDescent="0.35">
      <c r="B1995" s="57"/>
      <c r="C1995"/>
      <c r="D1995"/>
    </row>
    <row r="1996" spans="2:4" hidden="1" x14ac:dyDescent="0.35">
      <c r="B1996" s="57"/>
      <c r="C1996"/>
      <c r="D1996"/>
    </row>
    <row r="1997" spans="2:4" hidden="1" x14ac:dyDescent="0.35">
      <c r="B1997" s="57"/>
      <c r="C1997"/>
      <c r="D1997"/>
    </row>
    <row r="1998" spans="2:4" hidden="1" x14ac:dyDescent="0.35">
      <c r="B1998" s="57"/>
      <c r="C1998"/>
      <c r="D1998"/>
    </row>
    <row r="1999" spans="2:4" hidden="1" x14ac:dyDescent="0.35">
      <c r="B1999" s="57"/>
      <c r="C1999"/>
      <c r="D1999"/>
    </row>
    <row r="2000" spans="2:4" hidden="1" x14ac:dyDescent="0.35">
      <c r="B2000" s="57"/>
      <c r="C2000"/>
      <c r="D2000"/>
    </row>
    <row r="2001" spans="2:4" hidden="1" x14ac:dyDescent="0.35">
      <c r="B2001" s="57"/>
      <c r="C2001"/>
      <c r="D2001"/>
    </row>
    <row r="2002" spans="2:4" hidden="1" x14ac:dyDescent="0.35">
      <c r="B2002" s="57"/>
      <c r="C2002"/>
      <c r="D2002"/>
    </row>
    <row r="2003" spans="2:4" hidden="1" x14ac:dyDescent="0.35">
      <c r="B2003" s="57"/>
      <c r="C2003"/>
      <c r="D2003"/>
    </row>
    <row r="2004" spans="2:4" hidden="1" x14ac:dyDescent="0.35">
      <c r="B2004" s="57"/>
      <c r="C2004"/>
      <c r="D2004"/>
    </row>
    <row r="2005" spans="2:4" hidden="1" x14ac:dyDescent="0.35">
      <c r="B2005" s="57"/>
      <c r="C2005"/>
      <c r="D2005"/>
    </row>
    <row r="2006" spans="2:4" hidden="1" x14ac:dyDescent="0.35">
      <c r="B2006" s="57"/>
      <c r="C2006"/>
      <c r="D2006"/>
    </row>
    <row r="2007" spans="2:4" hidden="1" x14ac:dyDescent="0.35">
      <c r="B2007" s="57"/>
      <c r="C2007"/>
      <c r="D2007"/>
    </row>
    <row r="2008" spans="2:4" hidden="1" x14ac:dyDescent="0.35">
      <c r="B2008" s="57"/>
      <c r="C2008"/>
      <c r="D2008"/>
    </row>
    <row r="2009" spans="2:4" hidden="1" x14ac:dyDescent="0.35">
      <c r="B2009" s="57"/>
      <c r="C2009"/>
      <c r="D2009"/>
    </row>
    <row r="2010" spans="2:4" hidden="1" x14ac:dyDescent="0.35">
      <c r="B2010" s="57"/>
      <c r="C2010"/>
      <c r="D2010"/>
    </row>
    <row r="2011" spans="2:4" hidden="1" x14ac:dyDescent="0.35">
      <c r="B2011" s="57"/>
      <c r="C2011"/>
      <c r="D2011"/>
    </row>
    <row r="2012" spans="2:4" hidden="1" x14ac:dyDescent="0.35">
      <c r="B2012" s="57"/>
      <c r="C2012"/>
      <c r="D2012"/>
    </row>
    <row r="2013" spans="2:4" hidden="1" x14ac:dyDescent="0.35">
      <c r="B2013" s="57"/>
      <c r="C2013"/>
      <c r="D2013"/>
    </row>
    <row r="2014" spans="2:4" hidden="1" x14ac:dyDescent="0.35">
      <c r="B2014" s="57"/>
      <c r="C2014"/>
      <c r="D2014"/>
    </row>
    <row r="2015" spans="2:4" hidden="1" x14ac:dyDescent="0.35">
      <c r="B2015" s="57"/>
      <c r="C2015"/>
      <c r="D2015"/>
    </row>
    <row r="2016" spans="2:4" hidden="1" x14ac:dyDescent="0.35">
      <c r="B2016" s="57"/>
      <c r="C2016"/>
      <c r="D2016"/>
    </row>
    <row r="2017" spans="2:4" hidden="1" x14ac:dyDescent="0.35">
      <c r="B2017" s="57"/>
      <c r="C2017"/>
      <c r="D2017"/>
    </row>
    <row r="2018" spans="2:4" hidden="1" x14ac:dyDescent="0.35">
      <c r="B2018" s="57"/>
      <c r="C2018"/>
      <c r="D2018"/>
    </row>
    <row r="2019" spans="2:4" hidden="1" x14ac:dyDescent="0.35">
      <c r="B2019" s="57"/>
      <c r="C2019"/>
      <c r="D2019"/>
    </row>
    <row r="2020" spans="2:4" hidden="1" x14ac:dyDescent="0.35">
      <c r="B2020" s="57"/>
      <c r="C2020"/>
      <c r="D2020"/>
    </row>
    <row r="2021" spans="2:4" hidden="1" x14ac:dyDescent="0.35">
      <c r="B2021" s="57"/>
      <c r="C2021"/>
      <c r="D2021"/>
    </row>
    <row r="2022" spans="2:4" hidden="1" x14ac:dyDescent="0.35">
      <c r="B2022" s="57"/>
      <c r="C2022"/>
      <c r="D2022"/>
    </row>
    <row r="2023" spans="2:4" hidden="1" x14ac:dyDescent="0.35">
      <c r="B2023" s="57"/>
      <c r="C2023"/>
      <c r="D2023"/>
    </row>
    <row r="2024" spans="2:4" hidden="1" x14ac:dyDescent="0.35">
      <c r="B2024" s="57"/>
      <c r="C2024"/>
      <c r="D2024"/>
    </row>
    <row r="2025" spans="2:4" hidden="1" x14ac:dyDescent="0.35">
      <c r="B2025" s="57"/>
      <c r="C2025"/>
      <c r="D2025"/>
    </row>
    <row r="2026" spans="2:4" hidden="1" x14ac:dyDescent="0.35">
      <c r="B2026" s="57"/>
      <c r="C2026"/>
      <c r="D2026"/>
    </row>
    <row r="2027" spans="2:4" hidden="1" x14ac:dyDescent="0.35">
      <c r="B2027" s="57"/>
      <c r="C2027"/>
      <c r="D2027"/>
    </row>
    <row r="2028" spans="2:4" hidden="1" x14ac:dyDescent="0.35">
      <c r="B2028" s="57"/>
      <c r="C2028"/>
      <c r="D2028"/>
    </row>
    <row r="2029" spans="2:4" hidden="1" x14ac:dyDescent="0.35">
      <c r="B2029" s="57"/>
      <c r="C2029"/>
      <c r="D2029"/>
    </row>
    <row r="2030" spans="2:4" hidden="1" x14ac:dyDescent="0.35">
      <c r="B2030" s="57"/>
      <c r="C2030"/>
      <c r="D2030"/>
    </row>
    <row r="2031" spans="2:4" hidden="1" x14ac:dyDescent="0.35">
      <c r="B2031" s="57"/>
      <c r="C2031"/>
      <c r="D2031"/>
    </row>
    <row r="2032" spans="2:4" hidden="1" x14ac:dyDescent="0.35">
      <c r="B2032" s="57"/>
      <c r="C2032"/>
      <c r="D2032"/>
    </row>
    <row r="2033" spans="2:4" hidden="1" x14ac:dyDescent="0.35">
      <c r="B2033" s="57"/>
      <c r="C2033"/>
      <c r="D2033"/>
    </row>
    <row r="2034" spans="2:4" hidden="1" x14ac:dyDescent="0.35">
      <c r="B2034" s="57"/>
      <c r="C2034"/>
      <c r="D2034"/>
    </row>
    <row r="2035" spans="2:4" hidden="1" x14ac:dyDescent="0.35">
      <c r="B2035" s="57"/>
      <c r="C2035"/>
      <c r="D2035"/>
    </row>
    <row r="2036" spans="2:4" hidden="1" x14ac:dyDescent="0.35">
      <c r="B2036" s="57"/>
      <c r="C2036"/>
      <c r="D2036"/>
    </row>
    <row r="2037" spans="2:4" hidden="1" x14ac:dyDescent="0.35">
      <c r="B2037" s="57"/>
      <c r="C2037"/>
      <c r="D2037"/>
    </row>
    <row r="2038" spans="2:4" hidden="1" x14ac:dyDescent="0.35">
      <c r="B2038" s="57"/>
      <c r="C2038"/>
      <c r="D2038"/>
    </row>
    <row r="2039" spans="2:4" hidden="1" x14ac:dyDescent="0.35">
      <c r="B2039" s="57"/>
      <c r="C2039"/>
      <c r="D2039"/>
    </row>
    <row r="2040" spans="2:4" hidden="1" x14ac:dyDescent="0.35">
      <c r="B2040" s="57"/>
      <c r="C2040"/>
      <c r="D2040"/>
    </row>
    <row r="2041" spans="2:4" hidden="1" x14ac:dyDescent="0.35">
      <c r="B2041" s="57"/>
      <c r="C2041"/>
      <c r="D2041"/>
    </row>
    <row r="2042" spans="2:4" hidden="1" x14ac:dyDescent="0.35">
      <c r="B2042" s="57"/>
      <c r="C2042"/>
      <c r="D2042"/>
    </row>
    <row r="2043" spans="2:4" hidden="1" x14ac:dyDescent="0.35">
      <c r="B2043" s="57"/>
      <c r="C2043"/>
      <c r="D2043"/>
    </row>
    <row r="2044" spans="2:4" hidden="1" x14ac:dyDescent="0.35">
      <c r="B2044" s="57"/>
      <c r="C2044"/>
      <c r="D2044"/>
    </row>
    <row r="2045" spans="2:4" hidden="1" x14ac:dyDescent="0.35">
      <c r="B2045" s="57"/>
      <c r="C2045"/>
      <c r="D2045"/>
    </row>
    <row r="2046" spans="2:4" hidden="1" x14ac:dyDescent="0.35">
      <c r="B2046" s="57"/>
      <c r="C2046"/>
      <c r="D2046"/>
    </row>
    <row r="2047" spans="2:4" hidden="1" x14ac:dyDescent="0.35">
      <c r="B2047" s="57"/>
      <c r="C2047"/>
      <c r="D2047"/>
    </row>
    <row r="2048" spans="2:4" hidden="1" x14ac:dyDescent="0.35">
      <c r="B2048" s="57"/>
      <c r="C2048"/>
      <c r="D2048"/>
    </row>
    <row r="2049" spans="2:4" hidden="1" x14ac:dyDescent="0.35">
      <c r="B2049" s="57"/>
      <c r="C2049"/>
      <c r="D2049"/>
    </row>
    <row r="2050" spans="2:4" hidden="1" x14ac:dyDescent="0.35">
      <c r="B2050" s="57"/>
      <c r="C2050"/>
      <c r="D2050"/>
    </row>
    <row r="2051" spans="2:4" hidden="1" x14ac:dyDescent="0.35">
      <c r="B2051" s="57"/>
      <c r="C2051"/>
      <c r="D2051"/>
    </row>
    <row r="2052" spans="2:4" hidden="1" x14ac:dyDescent="0.35">
      <c r="B2052" s="57"/>
      <c r="C2052"/>
      <c r="D2052"/>
    </row>
    <row r="2053" spans="2:4" hidden="1" x14ac:dyDescent="0.35">
      <c r="B2053" s="57"/>
      <c r="C2053"/>
      <c r="D2053"/>
    </row>
    <row r="2054" spans="2:4" hidden="1" x14ac:dyDescent="0.35">
      <c r="B2054" s="57"/>
      <c r="C2054"/>
      <c r="D2054"/>
    </row>
    <row r="2055" spans="2:4" hidden="1" x14ac:dyDescent="0.35">
      <c r="B2055" s="57"/>
      <c r="C2055"/>
      <c r="D2055"/>
    </row>
    <row r="2056" spans="2:4" hidden="1" x14ac:dyDescent="0.35">
      <c r="B2056" s="57"/>
      <c r="C2056"/>
      <c r="D2056"/>
    </row>
    <row r="2057" spans="2:4" hidden="1" x14ac:dyDescent="0.35">
      <c r="B2057" s="57"/>
      <c r="C2057"/>
      <c r="D2057"/>
    </row>
    <row r="2058" spans="2:4" hidden="1" x14ac:dyDescent="0.35">
      <c r="B2058" s="57"/>
      <c r="C2058"/>
      <c r="D2058"/>
    </row>
    <row r="2059" spans="2:4" hidden="1" x14ac:dyDescent="0.35">
      <c r="B2059" s="57"/>
      <c r="C2059"/>
      <c r="D2059"/>
    </row>
    <row r="2060" spans="2:4" hidden="1" x14ac:dyDescent="0.35">
      <c r="B2060" s="57"/>
      <c r="C2060"/>
      <c r="D2060"/>
    </row>
    <row r="2061" spans="2:4" hidden="1" x14ac:dyDescent="0.35">
      <c r="B2061" s="57"/>
      <c r="C2061"/>
      <c r="D2061"/>
    </row>
    <row r="2062" spans="2:4" hidden="1" x14ac:dyDescent="0.35">
      <c r="B2062" s="57"/>
      <c r="C2062"/>
      <c r="D2062"/>
    </row>
    <row r="2063" spans="2:4" hidden="1" x14ac:dyDescent="0.35">
      <c r="B2063" s="57"/>
      <c r="C2063"/>
      <c r="D2063"/>
    </row>
    <row r="2064" spans="2:4" hidden="1" x14ac:dyDescent="0.35">
      <c r="B2064" s="57"/>
      <c r="C2064"/>
      <c r="D2064"/>
    </row>
    <row r="2065" spans="2:4" hidden="1" x14ac:dyDescent="0.35">
      <c r="B2065" s="57"/>
      <c r="C2065"/>
      <c r="D2065"/>
    </row>
    <row r="2066" spans="2:4" hidden="1" x14ac:dyDescent="0.35">
      <c r="B2066" s="57"/>
      <c r="C2066"/>
      <c r="D2066"/>
    </row>
    <row r="2067" spans="2:4" hidden="1" x14ac:dyDescent="0.35">
      <c r="B2067" s="57"/>
      <c r="C2067"/>
      <c r="D2067"/>
    </row>
    <row r="2068" spans="2:4" hidden="1" x14ac:dyDescent="0.35">
      <c r="B2068" s="57"/>
      <c r="C2068"/>
      <c r="D2068"/>
    </row>
    <row r="2069" spans="2:4" hidden="1" x14ac:dyDescent="0.35">
      <c r="B2069" s="57"/>
      <c r="C2069"/>
      <c r="D2069"/>
    </row>
    <row r="2070" spans="2:4" hidden="1" x14ac:dyDescent="0.35">
      <c r="B2070" s="57"/>
      <c r="C2070"/>
      <c r="D2070"/>
    </row>
    <row r="2071" spans="2:4" hidden="1" x14ac:dyDescent="0.35">
      <c r="B2071" s="57"/>
      <c r="C2071"/>
      <c r="D2071"/>
    </row>
    <row r="2072" spans="2:4" hidden="1" x14ac:dyDescent="0.35">
      <c r="B2072" s="57"/>
      <c r="C2072"/>
      <c r="D2072"/>
    </row>
    <row r="2073" spans="2:4" hidden="1" x14ac:dyDescent="0.35">
      <c r="B2073" s="57"/>
      <c r="C2073"/>
      <c r="D2073"/>
    </row>
    <row r="2074" spans="2:4" hidden="1" x14ac:dyDescent="0.35">
      <c r="B2074" s="57"/>
      <c r="C2074"/>
      <c r="D2074"/>
    </row>
    <row r="2075" spans="2:4" hidden="1" x14ac:dyDescent="0.35">
      <c r="B2075" s="57"/>
      <c r="C2075"/>
      <c r="D2075"/>
    </row>
    <row r="2076" spans="2:4" hidden="1" x14ac:dyDescent="0.35">
      <c r="B2076" s="57"/>
      <c r="C2076"/>
      <c r="D2076"/>
    </row>
    <row r="2077" spans="2:4" hidden="1" x14ac:dyDescent="0.35">
      <c r="B2077" s="57"/>
      <c r="C2077"/>
      <c r="D2077"/>
    </row>
    <row r="2078" spans="2:4" hidden="1" x14ac:dyDescent="0.35">
      <c r="B2078" s="57"/>
      <c r="C2078"/>
      <c r="D2078"/>
    </row>
    <row r="2079" spans="2:4" hidden="1" x14ac:dyDescent="0.35">
      <c r="B2079" s="57"/>
      <c r="C2079"/>
      <c r="D2079"/>
    </row>
    <row r="2080" spans="2:4" hidden="1" x14ac:dyDescent="0.35">
      <c r="B2080" s="57"/>
      <c r="C2080"/>
      <c r="D2080"/>
    </row>
    <row r="2081" spans="2:4" hidden="1" x14ac:dyDescent="0.35">
      <c r="B2081" s="57"/>
      <c r="C2081"/>
      <c r="D2081"/>
    </row>
    <row r="2082" spans="2:4" hidden="1" x14ac:dyDescent="0.35">
      <c r="B2082" s="57"/>
      <c r="C2082"/>
      <c r="D2082"/>
    </row>
    <row r="2083" spans="2:4" hidden="1" x14ac:dyDescent="0.35">
      <c r="B2083" s="57"/>
      <c r="C2083"/>
      <c r="D2083"/>
    </row>
    <row r="2084" spans="2:4" hidden="1" x14ac:dyDescent="0.35">
      <c r="B2084" s="57"/>
      <c r="C2084"/>
      <c r="D2084"/>
    </row>
    <row r="2085" spans="2:4" hidden="1" x14ac:dyDescent="0.35">
      <c r="B2085" s="57"/>
      <c r="C2085"/>
      <c r="D2085"/>
    </row>
    <row r="2086" spans="2:4" hidden="1" x14ac:dyDescent="0.35">
      <c r="B2086" s="57"/>
      <c r="C2086"/>
      <c r="D2086"/>
    </row>
    <row r="2087" spans="2:4" hidden="1" x14ac:dyDescent="0.35">
      <c r="B2087" s="57"/>
      <c r="C2087"/>
      <c r="D2087"/>
    </row>
    <row r="2088" spans="2:4" hidden="1" x14ac:dyDescent="0.35">
      <c r="B2088" s="57"/>
      <c r="C2088"/>
      <c r="D2088"/>
    </row>
    <row r="2089" spans="2:4" hidden="1" x14ac:dyDescent="0.35">
      <c r="B2089" s="57"/>
      <c r="C2089"/>
      <c r="D2089"/>
    </row>
    <row r="2090" spans="2:4" hidden="1" x14ac:dyDescent="0.35">
      <c r="B2090" s="57"/>
      <c r="C2090"/>
      <c r="D2090"/>
    </row>
    <row r="2091" spans="2:4" hidden="1" x14ac:dyDescent="0.35">
      <c r="B2091" s="57"/>
      <c r="C2091"/>
      <c r="D2091"/>
    </row>
    <row r="2092" spans="2:4" hidden="1" x14ac:dyDescent="0.35">
      <c r="B2092" s="57"/>
      <c r="C2092"/>
      <c r="D2092"/>
    </row>
    <row r="2093" spans="2:4" hidden="1" x14ac:dyDescent="0.35">
      <c r="B2093" s="57"/>
      <c r="C2093"/>
      <c r="D2093"/>
    </row>
    <row r="2094" spans="2:4" hidden="1" x14ac:dyDescent="0.35">
      <c r="B2094" s="57"/>
      <c r="C2094"/>
      <c r="D2094"/>
    </row>
    <row r="2095" spans="2:4" hidden="1" x14ac:dyDescent="0.35">
      <c r="B2095" s="57"/>
      <c r="C2095"/>
      <c r="D2095"/>
    </row>
    <row r="2096" spans="2:4" hidden="1" x14ac:dyDescent="0.35">
      <c r="B2096" s="57"/>
      <c r="C2096"/>
      <c r="D2096"/>
    </row>
    <row r="2097" spans="2:4" hidden="1" x14ac:dyDescent="0.35">
      <c r="B2097" s="57"/>
      <c r="C2097"/>
      <c r="D2097"/>
    </row>
    <row r="2098" spans="2:4" hidden="1" x14ac:dyDescent="0.35">
      <c r="B2098" s="57"/>
      <c r="C2098"/>
      <c r="D2098"/>
    </row>
    <row r="2099" spans="2:4" hidden="1" x14ac:dyDescent="0.35">
      <c r="B2099" s="57"/>
      <c r="C2099"/>
      <c r="D2099"/>
    </row>
    <row r="2100" spans="2:4" hidden="1" x14ac:dyDescent="0.35">
      <c r="B2100" s="57"/>
      <c r="C2100"/>
      <c r="D2100"/>
    </row>
    <row r="2101" spans="2:4" hidden="1" x14ac:dyDescent="0.35">
      <c r="B2101" s="57"/>
      <c r="C2101"/>
      <c r="D2101"/>
    </row>
    <row r="2102" spans="2:4" hidden="1" x14ac:dyDescent="0.35">
      <c r="B2102" s="57"/>
      <c r="C2102"/>
      <c r="D2102"/>
    </row>
    <row r="2103" spans="2:4" hidden="1" x14ac:dyDescent="0.35">
      <c r="B2103" s="57"/>
      <c r="C2103"/>
      <c r="D2103"/>
    </row>
    <row r="2104" spans="2:4" hidden="1" x14ac:dyDescent="0.35">
      <c r="B2104" s="57"/>
      <c r="C2104"/>
      <c r="D2104"/>
    </row>
    <row r="2105" spans="2:4" hidden="1" x14ac:dyDescent="0.35">
      <c r="B2105" s="57"/>
      <c r="C2105"/>
      <c r="D2105"/>
    </row>
    <row r="2106" spans="2:4" hidden="1" x14ac:dyDescent="0.35">
      <c r="B2106" s="57"/>
      <c r="C2106"/>
      <c r="D2106"/>
    </row>
    <row r="2107" spans="2:4" hidden="1" x14ac:dyDescent="0.35">
      <c r="B2107" s="57"/>
      <c r="C2107"/>
      <c r="D2107"/>
    </row>
    <row r="2108" spans="2:4" hidden="1" x14ac:dyDescent="0.35">
      <c r="B2108" s="57"/>
      <c r="C2108"/>
      <c r="D2108"/>
    </row>
    <row r="2109" spans="2:4" hidden="1" x14ac:dyDescent="0.35">
      <c r="B2109" s="57"/>
      <c r="C2109"/>
      <c r="D2109"/>
    </row>
    <row r="2110" spans="2:4" hidden="1" x14ac:dyDescent="0.35">
      <c r="B2110" s="57"/>
      <c r="C2110"/>
      <c r="D2110"/>
    </row>
    <row r="2111" spans="2:4" hidden="1" x14ac:dyDescent="0.35">
      <c r="B2111" s="57"/>
      <c r="C2111"/>
      <c r="D2111"/>
    </row>
    <row r="2112" spans="2:4" hidden="1" x14ac:dyDescent="0.35">
      <c r="B2112" s="57"/>
      <c r="C2112"/>
      <c r="D2112"/>
    </row>
    <row r="2113" spans="2:4" hidden="1" x14ac:dyDescent="0.35">
      <c r="B2113" s="57"/>
      <c r="C2113"/>
      <c r="D2113"/>
    </row>
    <row r="2114" spans="2:4" hidden="1" x14ac:dyDescent="0.35">
      <c r="B2114" s="57"/>
      <c r="C2114"/>
      <c r="D2114"/>
    </row>
    <row r="2115" spans="2:4" hidden="1" x14ac:dyDescent="0.35">
      <c r="B2115" s="57"/>
      <c r="C2115"/>
      <c r="D2115"/>
    </row>
    <row r="2116" spans="2:4" hidden="1" x14ac:dyDescent="0.35">
      <c r="B2116" s="57"/>
      <c r="C2116"/>
      <c r="D2116"/>
    </row>
    <row r="2117" spans="2:4" hidden="1" x14ac:dyDescent="0.35">
      <c r="B2117" s="57"/>
      <c r="C2117"/>
      <c r="D2117"/>
    </row>
    <row r="2118" spans="2:4" hidden="1" x14ac:dyDescent="0.35">
      <c r="B2118" s="57"/>
      <c r="C2118"/>
      <c r="D2118"/>
    </row>
    <row r="2119" spans="2:4" hidden="1" x14ac:dyDescent="0.35">
      <c r="B2119" s="57"/>
      <c r="C2119"/>
      <c r="D2119"/>
    </row>
    <row r="2120" spans="2:4" hidden="1" x14ac:dyDescent="0.35">
      <c r="B2120" s="57"/>
      <c r="C2120"/>
      <c r="D2120"/>
    </row>
    <row r="2121" spans="2:4" hidden="1" x14ac:dyDescent="0.35">
      <c r="B2121" s="57"/>
      <c r="C2121"/>
      <c r="D2121"/>
    </row>
    <row r="2122" spans="2:4" hidden="1" x14ac:dyDescent="0.35">
      <c r="B2122" s="57"/>
      <c r="C2122"/>
      <c r="D2122"/>
    </row>
    <row r="2123" spans="2:4" hidden="1" x14ac:dyDescent="0.35">
      <c r="B2123" s="57"/>
      <c r="C2123"/>
      <c r="D2123"/>
    </row>
    <row r="2124" spans="2:4" hidden="1" x14ac:dyDescent="0.35">
      <c r="B2124" s="57"/>
      <c r="C2124"/>
      <c r="D2124"/>
    </row>
    <row r="2125" spans="2:4" hidden="1" x14ac:dyDescent="0.35">
      <c r="B2125" s="57"/>
      <c r="C2125"/>
      <c r="D2125"/>
    </row>
    <row r="2126" spans="2:4" hidden="1" x14ac:dyDescent="0.35">
      <c r="B2126" s="57"/>
      <c r="C2126"/>
      <c r="D2126"/>
    </row>
    <row r="2127" spans="2:4" hidden="1" x14ac:dyDescent="0.35">
      <c r="B2127" s="57"/>
      <c r="C2127"/>
      <c r="D2127"/>
    </row>
    <row r="2128" spans="2:4" hidden="1" x14ac:dyDescent="0.35">
      <c r="B2128" s="57"/>
      <c r="C2128"/>
      <c r="D2128"/>
    </row>
    <row r="2129" spans="2:4" hidden="1" x14ac:dyDescent="0.35">
      <c r="B2129" s="57"/>
      <c r="C2129"/>
      <c r="D2129"/>
    </row>
    <row r="2130" spans="2:4" hidden="1" x14ac:dyDescent="0.35">
      <c r="B2130" s="57"/>
      <c r="C2130"/>
      <c r="D2130"/>
    </row>
    <row r="2131" spans="2:4" hidden="1" x14ac:dyDescent="0.35">
      <c r="B2131" s="57"/>
      <c r="C2131"/>
      <c r="D2131"/>
    </row>
    <row r="2132" spans="2:4" hidden="1" x14ac:dyDescent="0.35">
      <c r="B2132" s="57"/>
      <c r="C2132"/>
      <c r="D2132"/>
    </row>
    <row r="2133" spans="2:4" hidden="1" x14ac:dyDescent="0.35">
      <c r="B2133" s="57"/>
      <c r="C2133"/>
      <c r="D2133"/>
    </row>
    <row r="2134" spans="2:4" hidden="1" x14ac:dyDescent="0.35">
      <c r="B2134" s="57"/>
      <c r="C2134"/>
      <c r="D2134"/>
    </row>
    <row r="2135" spans="2:4" hidden="1" x14ac:dyDescent="0.35">
      <c r="B2135" s="57"/>
      <c r="C2135"/>
      <c r="D2135"/>
    </row>
    <row r="2136" spans="2:4" hidden="1" x14ac:dyDescent="0.35">
      <c r="B2136" s="57"/>
      <c r="C2136"/>
      <c r="D2136"/>
    </row>
    <row r="2137" spans="2:4" hidden="1" x14ac:dyDescent="0.35">
      <c r="B2137" s="57"/>
      <c r="C2137"/>
      <c r="D2137"/>
    </row>
    <row r="2138" spans="2:4" hidden="1" x14ac:dyDescent="0.35">
      <c r="B2138" s="57"/>
      <c r="C2138"/>
      <c r="D2138"/>
    </row>
    <row r="2139" spans="2:4" hidden="1" x14ac:dyDescent="0.35">
      <c r="B2139" s="57"/>
      <c r="C2139"/>
      <c r="D2139"/>
    </row>
    <row r="2140" spans="2:4" hidden="1" x14ac:dyDescent="0.35">
      <c r="B2140" s="57"/>
      <c r="C2140"/>
      <c r="D2140"/>
    </row>
    <row r="2141" spans="2:4" hidden="1" x14ac:dyDescent="0.35">
      <c r="B2141" s="57"/>
      <c r="C2141"/>
      <c r="D2141"/>
    </row>
    <row r="2142" spans="2:4" hidden="1" x14ac:dyDescent="0.35">
      <c r="B2142" s="57"/>
      <c r="C2142"/>
      <c r="D2142"/>
    </row>
    <row r="2143" spans="2:4" hidden="1" x14ac:dyDescent="0.35">
      <c r="B2143" s="57"/>
      <c r="C2143"/>
      <c r="D2143"/>
    </row>
    <row r="2144" spans="2:4" hidden="1" x14ac:dyDescent="0.35">
      <c r="B2144" s="57"/>
      <c r="C2144"/>
      <c r="D2144"/>
    </row>
    <row r="2145" spans="2:4" hidden="1" x14ac:dyDescent="0.35">
      <c r="B2145" s="57"/>
      <c r="C2145"/>
      <c r="D2145"/>
    </row>
    <row r="2146" spans="2:4" hidden="1" x14ac:dyDescent="0.35">
      <c r="B2146" s="57"/>
      <c r="C2146"/>
      <c r="D2146"/>
    </row>
    <row r="2147" spans="2:4" hidden="1" x14ac:dyDescent="0.35">
      <c r="B2147" s="57"/>
      <c r="C2147"/>
      <c r="D2147"/>
    </row>
    <row r="2148" spans="2:4" hidden="1" x14ac:dyDescent="0.35">
      <c r="B2148" s="57"/>
      <c r="C2148"/>
      <c r="D2148"/>
    </row>
    <row r="2149" spans="2:4" hidden="1" x14ac:dyDescent="0.35">
      <c r="B2149" s="57"/>
      <c r="C2149"/>
      <c r="D2149"/>
    </row>
    <row r="2150" spans="2:4" hidden="1" x14ac:dyDescent="0.35">
      <c r="B2150" s="57"/>
      <c r="C2150"/>
      <c r="D2150"/>
    </row>
    <row r="2151" spans="2:4" hidden="1" x14ac:dyDescent="0.35">
      <c r="B2151" s="57"/>
      <c r="C2151"/>
      <c r="D2151"/>
    </row>
    <row r="2152" spans="2:4" hidden="1" x14ac:dyDescent="0.35">
      <c r="B2152" s="57"/>
      <c r="C2152"/>
      <c r="D2152"/>
    </row>
    <row r="2153" spans="2:4" hidden="1" x14ac:dyDescent="0.35">
      <c r="B2153" s="57"/>
      <c r="C2153"/>
      <c r="D2153"/>
    </row>
    <row r="2154" spans="2:4" hidden="1" x14ac:dyDescent="0.35">
      <c r="B2154" s="57"/>
      <c r="C2154"/>
      <c r="D2154"/>
    </row>
    <row r="2155" spans="2:4" hidden="1" x14ac:dyDescent="0.35">
      <c r="B2155" s="57"/>
      <c r="C2155"/>
      <c r="D2155"/>
    </row>
    <row r="2156" spans="2:4" hidden="1" x14ac:dyDescent="0.35">
      <c r="B2156" s="57"/>
      <c r="C2156"/>
      <c r="D2156"/>
    </row>
    <row r="2157" spans="2:4" hidden="1" x14ac:dyDescent="0.35">
      <c r="B2157" s="57"/>
      <c r="C2157"/>
      <c r="D2157"/>
    </row>
    <row r="2158" spans="2:4" hidden="1" x14ac:dyDescent="0.35">
      <c r="B2158" s="57"/>
      <c r="C2158"/>
      <c r="D2158"/>
    </row>
    <row r="2159" spans="2:4" hidden="1" x14ac:dyDescent="0.35">
      <c r="B2159" s="57"/>
      <c r="C2159"/>
      <c r="D2159"/>
    </row>
    <row r="2160" spans="2:4" hidden="1" x14ac:dyDescent="0.35">
      <c r="B2160" s="57"/>
      <c r="C2160"/>
      <c r="D2160"/>
    </row>
    <row r="2161" spans="2:4" hidden="1" x14ac:dyDescent="0.35">
      <c r="B2161" s="57"/>
      <c r="C2161"/>
      <c r="D2161"/>
    </row>
    <row r="2162" spans="2:4" hidden="1" x14ac:dyDescent="0.35">
      <c r="B2162" s="57"/>
      <c r="C2162"/>
      <c r="D2162"/>
    </row>
    <row r="2163" spans="2:4" hidden="1" x14ac:dyDescent="0.35">
      <c r="B2163" s="57"/>
      <c r="C2163"/>
      <c r="D2163"/>
    </row>
    <row r="2164" spans="2:4" hidden="1" x14ac:dyDescent="0.35">
      <c r="B2164" s="57"/>
      <c r="C2164"/>
      <c r="D2164"/>
    </row>
    <row r="2165" spans="2:4" hidden="1" x14ac:dyDescent="0.35">
      <c r="B2165" s="57"/>
      <c r="C2165"/>
      <c r="D2165"/>
    </row>
    <row r="2166" spans="2:4" hidden="1" x14ac:dyDescent="0.35">
      <c r="B2166" s="57"/>
      <c r="C2166"/>
      <c r="D2166"/>
    </row>
    <row r="2167" spans="2:4" hidden="1" x14ac:dyDescent="0.35">
      <c r="B2167" s="57"/>
      <c r="C2167"/>
      <c r="D2167"/>
    </row>
    <row r="2168" spans="2:4" hidden="1" x14ac:dyDescent="0.35">
      <c r="B2168" s="57"/>
      <c r="C2168"/>
      <c r="D2168"/>
    </row>
    <row r="2169" spans="2:4" hidden="1" x14ac:dyDescent="0.35">
      <c r="B2169" s="57"/>
      <c r="C2169"/>
      <c r="D2169"/>
    </row>
    <row r="2170" spans="2:4" hidden="1" x14ac:dyDescent="0.35">
      <c r="B2170" s="57"/>
      <c r="C2170"/>
      <c r="D2170"/>
    </row>
    <row r="2171" spans="2:4" hidden="1" x14ac:dyDescent="0.35">
      <c r="B2171" s="57"/>
      <c r="C2171"/>
      <c r="D2171"/>
    </row>
    <row r="2172" spans="2:4" hidden="1" x14ac:dyDescent="0.35">
      <c r="B2172" s="57"/>
      <c r="C2172"/>
      <c r="D2172"/>
    </row>
    <row r="2173" spans="2:4" hidden="1" x14ac:dyDescent="0.35">
      <c r="B2173" s="57"/>
      <c r="C2173"/>
      <c r="D2173"/>
    </row>
    <row r="2174" spans="2:4" hidden="1" x14ac:dyDescent="0.35">
      <c r="B2174" s="57"/>
      <c r="C2174"/>
      <c r="D2174"/>
    </row>
    <row r="2175" spans="2:4" hidden="1" x14ac:dyDescent="0.35">
      <c r="B2175" s="57"/>
      <c r="C2175"/>
      <c r="D2175"/>
    </row>
    <row r="2176" spans="2:4" hidden="1" x14ac:dyDescent="0.35">
      <c r="B2176" s="57"/>
      <c r="C2176"/>
      <c r="D2176"/>
    </row>
    <row r="2177" spans="2:4" hidden="1" x14ac:dyDescent="0.35">
      <c r="B2177" s="57"/>
      <c r="C2177"/>
      <c r="D2177"/>
    </row>
    <row r="2178" spans="2:4" hidden="1" x14ac:dyDescent="0.35">
      <c r="B2178" s="57"/>
      <c r="C2178"/>
      <c r="D2178"/>
    </row>
    <row r="2179" spans="2:4" hidden="1" x14ac:dyDescent="0.35">
      <c r="B2179" s="57"/>
      <c r="C2179"/>
      <c r="D2179"/>
    </row>
    <row r="2180" spans="2:4" hidden="1" x14ac:dyDescent="0.35">
      <c r="B2180" s="57"/>
      <c r="C2180"/>
      <c r="D2180"/>
    </row>
    <row r="2181" spans="2:4" hidden="1" x14ac:dyDescent="0.35">
      <c r="B2181" s="57"/>
      <c r="C2181"/>
      <c r="D2181"/>
    </row>
    <row r="2182" spans="2:4" hidden="1" x14ac:dyDescent="0.35">
      <c r="B2182" s="57"/>
      <c r="C2182"/>
      <c r="D2182"/>
    </row>
    <row r="2183" spans="2:4" hidden="1" x14ac:dyDescent="0.35">
      <c r="B2183" s="57"/>
      <c r="C2183"/>
      <c r="D2183"/>
    </row>
    <row r="2184" spans="2:4" hidden="1" x14ac:dyDescent="0.35">
      <c r="B2184" s="57"/>
      <c r="C2184"/>
      <c r="D2184"/>
    </row>
    <row r="2185" spans="2:4" hidden="1" x14ac:dyDescent="0.35">
      <c r="B2185" s="57"/>
      <c r="C2185"/>
      <c r="D2185"/>
    </row>
    <row r="2186" spans="2:4" hidden="1" x14ac:dyDescent="0.35">
      <c r="B2186" s="57"/>
      <c r="C2186"/>
      <c r="D2186"/>
    </row>
    <row r="2187" spans="2:4" hidden="1" x14ac:dyDescent="0.35">
      <c r="B2187" s="57"/>
      <c r="C2187"/>
      <c r="D2187"/>
    </row>
    <row r="2188" spans="2:4" hidden="1" x14ac:dyDescent="0.35">
      <c r="B2188" s="57"/>
      <c r="C2188"/>
      <c r="D2188"/>
    </row>
    <row r="2189" spans="2:4" hidden="1" x14ac:dyDescent="0.35">
      <c r="B2189" s="57"/>
      <c r="C2189"/>
      <c r="D2189"/>
    </row>
    <row r="2190" spans="2:4" hidden="1" x14ac:dyDescent="0.35">
      <c r="B2190" s="57"/>
      <c r="C2190"/>
      <c r="D2190"/>
    </row>
    <row r="2191" spans="2:4" hidden="1" x14ac:dyDescent="0.35">
      <c r="B2191" s="57"/>
      <c r="C2191"/>
      <c r="D2191"/>
    </row>
    <row r="2192" spans="2:4" hidden="1" x14ac:dyDescent="0.35">
      <c r="B2192" s="57"/>
      <c r="C2192"/>
      <c r="D2192"/>
    </row>
    <row r="2193" spans="2:4" hidden="1" x14ac:dyDescent="0.35">
      <c r="B2193" s="57"/>
      <c r="C2193"/>
      <c r="D2193"/>
    </row>
    <row r="2194" spans="2:4" hidden="1" x14ac:dyDescent="0.35">
      <c r="B2194" s="57"/>
      <c r="C2194"/>
      <c r="D2194"/>
    </row>
    <row r="2195" spans="2:4" hidden="1" x14ac:dyDescent="0.35">
      <c r="B2195" s="57"/>
      <c r="C2195"/>
      <c r="D2195"/>
    </row>
    <row r="2196" spans="2:4" hidden="1" x14ac:dyDescent="0.35">
      <c r="B2196" s="57"/>
      <c r="C2196"/>
      <c r="D2196"/>
    </row>
    <row r="2197" spans="2:4" hidden="1" x14ac:dyDescent="0.35">
      <c r="B2197" s="57"/>
      <c r="C2197"/>
      <c r="D2197"/>
    </row>
    <row r="2198" spans="2:4" hidden="1" x14ac:dyDescent="0.35">
      <c r="B2198" s="57"/>
      <c r="C2198"/>
      <c r="D2198"/>
    </row>
    <row r="2199" spans="2:4" hidden="1" x14ac:dyDescent="0.35">
      <c r="B2199" s="57"/>
      <c r="C2199"/>
      <c r="D2199"/>
    </row>
    <row r="2200" spans="2:4" hidden="1" x14ac:dyDescent="0.35">
      <c r="B2200" s="57"/>
      <c r="C2200"/>
      <c r="D2200"/>
    </row>
    <row r="2201" spans="2:4" hidden="1" x14ac:dyDescent="0.35">
      <c r="B2201" s="57"/>
      <c r="C2201"/>
      <c r="D2201"/>
    </row>
    <row r="2202" spans="2:4" hidden="1" x14ac:dyDescent="0.35">
      <c r="B2202" s="57"/>
      <c r="C2202"/>
      <c r="D2202"/>
    </row>
    <row r="2203" spans="2:4" hidden="1" x14ac:dyDescent="0.35">
      <c r="B2203" s="57"/>
      <c r="C2203"/>
      <c r="D2203"/>
    </row>
    <row r="2204" spans="2:4" hidden="1" x14ac:dyDescent="0.35">
      <c r="B2204" s="57"/>
      <c r="C2204"/>
      <c r="D2204"/>
    </row>
    <row r="2205" spans="2:4" hidden="1" x14ac:dyDescent="0.35">
      <c r="B2205" s="57"/>
      <c r="C2205"/>
      <c r="D2205"/>
    </row>
    <row r="2206" spans="2:4" hidden="1" x14ac:dyDescent="0.35">
      <c r="B2206" s="57"/>
      <c r="C2206"/>
      <c r="D2206"/>
    </row>
    <row r="2207" spans="2:4" hidden="1" x14ac:dyDescent="0.35">
      <c r="B2207" s="57"/>
      <c r="C2207"/>
      <c r="D2207"/>
    </row>
    <row r="2208" spans="2:4" hidden="1" x14ac:dyDescent="0.35">
      <c r="B2208" s="57"/>
      <c r="C2208"/>
      <c r="D2208"/>
    </row>
    <row r="2209" spans="2:4" hidden="1" x14ac:dyDescent="0.35">
      <c r="B2209" s="57"/>
      <c r="C2209"/>
      <c r="D2209"/>
    </row>
    <row r="2210" spans="2:4" hidden="1" x14ac:dyDescent="0.35">
      <c r="B2210" s="57"/>
      <c r="C2210"/>
      <c r="D2210"/>
    </row>
    <row r="2211" spans="2:4" hidden="1" x14ac:dyDescent="0.35">
      <c r="B2211" s="57"/>
      <c r="C2211"/>
      <c r="D2211"/>
    </row>
    <row r="2212" spans="2:4" hidden="1" x14ac:dyDescent="0.35">
      <c r="B2212" s="57"/>
      <c r="C2212"/>
      <c r="D2212"/>
    </row>
    <row r="2213" spans="2:4" hidden="1" x14ac:dyDescent="0.35">
      <c r="B2213" s="57"/>
      <c r="C2213"/>
      <c r="D2213"/>
    </row>
    <row r="2214" spans="2:4" hidden="1" x14ac:dyDescent="0.35">
      <c r="B2214" s="57"/>
      <c r="C2214"/>
      <c r="D2214"/>
    </row>
    <row r="2215" spans="2:4" hidden="1" x14ac:dyDescent="0.35">
      <c r="B2215" s="57"/>
      <c r="C2215"/>
      <c r="D2215"/>
    </row>
    <row r="2216" spans="2:4" hidden="1" x14ac:dyDescent="0.35">
      <c r="B2216" s="57"/>
      <c r="C2216"/>
      <c r="D2216"/>
    </row>
    <row r="2217" spans="2:4" hidden="1" x14ac:dyDescent="0.35">
      <c r="B2217" s="57"/>
      <c r="C2217"/>
      <c r="D2217"/>
    </row>
    <row r="2218" spans="2:4" hidden="1" x14ac:dyDescent="0.35">
      <c r="B2218" s="57"/>
      <c r="C2218"/>
      <c r="D2218"/>
    </row>
    <row r="2219" spans="2:4" hidden="1" x14ac:dyDescent="0.35">
      <c r="B2219" s="57"/>
      <c r="C2219"/>
      <c r="D2219"/>
    </row>
    <row r="2220" spans="2:4" hidden="1" x14ac:dyDescent="0.35">
      <c r="B2220" s="57"/>
      <c r="C2220"/>
      <c r="D2220"/>
    </row>
    <row r="2221" spans="2:4" hidden="1" x14ac:dyDescent="0.35">
      <c r="B2221" s="57"/>
      <c r="C2221"/>
      <c r="D2221"/>
    </row>
    <row r="2222" spans="2:4" hidden="1" x14ac:dyDescent="0.35">
      <c r="B2222" s="57"/>
      <c r="C2222"/>
      <c r="D2222"/>
    </row>
    <row r="2223" spans="2:4" hidden="1" x14ac:dyDescent="0.35">
      <c r="B2223" s="57"/>
      <c r="C2223"/>
      <c r="D2223"/>
    </row>
    <row r="2224" spans="2:4" hidden="1" x14ac:dyDescent="0.35">
      <c r="B2224" s="57"/>
      <c r="C2224"/>
      <c r="D2224"/>
    </row>
    <row r="2225" spans="2:4" hidden="1" x14ac:dyDescent="0.35">
      <c r="B2225" s="57"/>
      <c r="C2225"/>
      <c r="D2225"/>
    </row>
    <row r="2226" spans="2:4" hidden="1" x14ac:dyDescent="0.35">
      <c r="B2226" s="57"/>
      <c r="C2226"/>
      <c r="D2226"/>
    </row>
    <row r="2227" spans="2:4" hidden="1" x14ac:dyDescent="0.35">
      <c r="B2227" s="57"/>
      <c r="C2227"/>
      <c r="D2227"/>
    </row>
    <row r="2228" spans="2:4" hidden="1" x14ac:dyDescent="0.35">
      <c r="B2228" s="57"/>
      <c r="C2228"/>
      <c r="D2228"/>
    </row>
    <row r="2229" spans="2:4" hidden="1" x14ac:dyDescent="0.35">
      <c r="B2229" s="57"/>
      <c r="C2229"/>
      <c r="D2229"/>
    </row>
    <row r="2230" spans="2:4" hidden="1" x14ac:dyDescent="0.35">
      <c r="B2230" s="57"/>
      <c r="C2230"/>
      <c r="D2230"/>
    </row>
    <row r="2231" spans="2:4" hidden="1" x14ac:dyDescent="0.35">
      <c r="B2231" s="57"/>
      <c r="C2231"/>
      <c r="D2231"/>
    </row>
    <row r="2232" spans="2:4" hidden="1" x14ac:dyDescent="0.35">
      <c r="B2232" s="57"/>
      <c r="C2232"/>
      <c r="D2232"/>
    </row>
    <row r="2233" spans="2:4" hidden="1" x14ac:dyDescent="0.35">
      <c r="B2233" s="57"/>
      <c r="C2233"/>
      <c r="D2233"/>
    </row>
    <row r="2234" spans="2:4" hidden="1" x14ac:dyDescent="0.35">
      <c r="B2234" s="57"/>
      <c r="C2234"/>
      <c r="D2234"/>
    </row>
    <row r="2235" spans="2:4" hidden="1" x14ac:dyDescent="0.35">
      <c r="B2235" s="57"/>
      <c r="C2235"/>
      <c r="D2235"/>
    </row>
    <row r="2236" spans="2:4" hidden="1" x14ac:dyDescent="0.35">
      <c r="B2236" s="57"/>
      <c r="C2236"/>
      <c r="D2236"/>
    </row>
    <row r="2237" spans="2:4" hidden="1" x14ac:dyDescent="0.35">
      <c r="B2237" s="57"/>
      <c r="C2237"/>
      <c r="D2237"/>
    </row>
    <row r="2238" spans="2:4" hidden="1" x14ac:dyDescent="0.35">
      <c r="B2238" s="57"/>
      <c r="C2238"/>
      <c r="D2238"/>
    </row>
    <row r="2239" spans="2:4" hidden="1" x14ac:dyDescent="0.35">
      <c r="B2239" s="57"/>
      <c r="C2239"/>
      <c r="D2239"/>
    </row>
    <row r="2240" spans="2:4" hidden="1" x14ac:dyDescent="0.35">
      <c r="B2240" s="57"/>
      <c r="C2240"/>
      <c r="D2240"/>
    </row>
    <row r="2241" spans="2:4" hidden="1" x14ac:dyDescent="0.35">
      <c r="B2241" s="57"/>
      <c r="C2241"/>
      <c r="D2241"/>
    </row>
    <row r="2242" spans="2:4" hidden="1" x14ac:dyDescent="0.35">
      <c r="B2242" s="57"/>
      <c r="C2242"/>
      <c r="D2242"/>
    </row>
    <row r="2243" spans="2:4" hidden="1" x14ac:dyDescent="0.35">
      <c r="B2243" s="57"/>
      <c r="C2243"/>
      <c r="D2243"/>
    </row>
    <row r="2244" spans="2:4" hidden="1" x14ac:dyDescent="0.35">
      <c r="B2244" s="57"/>
      <c r="C2244"/>
      <c r="D2244"/>
    </row>
    <row r="2245" spans="2:4" hidden="1" x14ac:dyDescent="0.35">
      <c r="B2245" s="57"/>
      <c r="C2245"/>
      <c r="D2245"/>
    </row>
    <row r="2246" spans="2:4" hidden="1" x14ac:dyDescent="0.35">
      <c r="B2246" s="57"/>
      <c r="C2246"/>
      <c r="D2246"/>
    </row>
    <row r="2247" spans="2:4" hidden="1" x14ac:dyDescent="0.35">
      <c r="B2247" s="57"/>
      <c r="C2247"/>
      <c r="D2247"/>
    </row>
    <row r="2248" spans="2:4" hidden="1" x14ac:dyDescent="0.35">
      <c r="B2248" s="57"/>
      <c r="C2248"/>
      <c r="D2248"/>
    </row>
    <row r="2249" spans="2:4" hidden="1" x14ac:dyDescent="0.35">
      <c r="B2249" s="57"/>
      <c r="C2249"/>
      <c r="D2249"/>
    </row>
    <row r="2250" spans="2:4" hidden="1" x14ac:dyDescent="0.35">
      <c r="B2250" s="57"/>
      <c r="C2250"/>
      <c r="D2250"/>
    </row>
    <row r="2251" spans="2:4" hidden="1" x14ac:dyDescent="0.35">
      <c r="B2251" s="57"/>
      <c r="C2251"/>
      <c r="D2251"/>
    </row>
    <row r="2252" spans="2:4" hidden="1" x14ac:dyDescent="0.35">
      <c r="B2252" s="57"/>
      <c r="C2252"/>
      <c r="D2252"/>
    </row>
    <row r="2253" spans="2:4" hidden="1" x14ac:dyDescent="0.35">
      <c r="B2253" s="57"/>
      <c r="C2253"/>
      <c r="D2253"/>
    </row>
    <row r="2254" spans="2:4" hidden="1" x14ac:dyDescent="0.35">
      <c r="B2254" s="57"/>
      <c r="C2254"/>
      <c r="D2254"/>
    </row>
    <row r="2255" spans="2:4" hidden="1" x14ac:dyDescent="0.35">
      <c r="B2255" s="57"/>
      <c r="C2255"/>
      <c r="D2255"/>
    </row>
    <row r="2256" spans="2:4" hidden="1" x14ac:dyDescent="0.35">
      <c r="B2256" s="57"/>
      <c r="C2256"/>
      <c r="D2256"/>
    </row>
    <row r="2257" spans="2:4" hidden="1" x14ac:dyDescent="0.35">
      <c r="B2257" s="57"/>
      <c r="C2257"/>
      <c r="D2257"/>
    </row>
    <row r="2258" spans="2:4" hidden="1" x14ac:dyDescent="0.35">
      <c r="B2258" s="57"/>
      <c r="C2258"/>
      <c r="D2258"/>
    </row>
    <row r="2259" spans="2:4" hidden="1" x14ac:dyDescent="0.35">
      <c r="B2259" s="57"/>
      <c r="C2259"/>
      <c r="D2259"/>
    </row>
    <row r="2260" spans="2:4" hidden="1" x14ac:dyDescent="0.35">
      <c r="B2260" s="57"/>
      <c r="C2260"/>
      <c r="D2260"/>
    </row>
    <row r="2261" spans="2:4" hidden="1" x14ac:dyDescent="0.35">
      <c r="B2261" s="57"/>
      <c r="C2261"/>
      <c r="D2261"/>
    </row>
    <row r="2262" spans="2:4" hidden="1" x14ac:dyDescent="0.35">
      <c r="B2262" s="57"/>
      <c r="C2262"/>
      <c r="D2262"/>
    </row>
    <row r="2263" spans="2:4" hidden="1" x14ac:dyDescent="0.35">
      <c r="B2263" s="57"/>
      <c r="C2263"/>
      <c r="D2263"/>
    </row>
    <row r="2264" spans="2:4" hidden="1" x14ac:dyDescent="0.35">
      <c r="B2264" s="57"/>
      <c r="C2264"/>
      <c r="D2264"/>
    </row>
    <row r="2265" spans="2:4" hidden="1" x14ac:dyDescent="0.35">
      <c r="B2265" s="57"/>
      <c r="C2265"/>
      <c r="D2265"/>
    </row>
    <row r="2266" spans="2:4" hidden="1" x14ac:dyDescent="0.35">
      <c r="B2266" s="57"/>
      <c r="C2266"/>
      <c r="D2266"/>
    </row>
    <row r="2267" spans="2:4" hidden="1" x14ac:dyDescent="0.35">
      <c r="B2267" s="57"/>
      <c r="C2267"/>
      <c r="D2267"/>
    </row>
    <row r="2268" spans="2:4" hidden="1" x14ac:dyDescent="0.35">
      <c r="B2268" s="57"/>
      <c r="C2268"/>
      <c r="D2268"/>
    </row>
    <row r="2269" spans="2:4" hidden="1" x14ac:dyDescent="0.35">
      <c r="B2269" s="57"/>
      <c r="C2269"/>
      <c r="D2269"/>
    </row>
    <row r="2270" spans="2:4" hidden="1" x14ac:dyDescent="0.35">
      <c r="B2270" s="57"/>
      <c r="C2270"/>
      <c r="D2270"/>
    </row>
    <row r="2271" spans="2:4" hidden="1" x14ac:dyDescent="0.35">
      <c r="B2271" s="57"/>
      <c r="C2271"/>
      <c r="D2271"/>
    </row>
    <row r="2272" spans="2:4" x14ac:dyDescent="0.35"/>
    <row r="2273" x14ac:dyDescent="0.35"/>
    <row r="2274" x14ac:dyDescent="0.35"/>
    <row r="2275" x14ac:dyDescent="0.35"/>
    <row r="2276" x14ac:dyDescent="0.35"/>
    <row r="2277" x14ac:dyDescent="0.35"/>
    <row r="2278" x14ac:dyDescent="0.35"/>
  </sheetData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.</vt:lpstr>
      <vt:lpstr>Controller</vt:lpstr>
      <vt:lpstr>Stats Graphs</vt:lpstr>
      <vt:lpstr>Monthly Trend</vt:lpstr>
      <vt:lpstr>C_MEAS</vt:lpstr>
      <vt:lpstr>CMEAS_1</vt:lpstr>
      <vt:lpstr>CMEAS_2</vt:lpstr>
      <vt:lpstr>CMEAS_3</vt:lpstr>
      <vt:lpstr>CMEAS_4</vt:lpstr>
      <vt:lpstr>CMEAS2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Céspedes Araya, Mauro</dc:creator>
  <cp:lastModifiedBy>Céspedes, Mauro  Araya</cp:lastModifiedBy>
  <dcterms:created xsi:type="dcterms:W3CDTF">2023-05-11T21:27:31Z</dcterms:created>
  <dcterms:modified xsi:type="dcterms:W3CDTF">2023-10-18T09:26:55Z</dcterms:modified>
</cp:coreProperties>
</file>